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urudev\Downloads\"/>
    </mc:Choice>
  </mc:AlternateContent>
  <xr:revisionPtr revIDLastSave="0" documentId="8_{33D33DDA-3BC8-4202-963F-5915C071DAAD}" xr6:coauthVersionLast="47" xr6:coauthVersionMax="47" xr10:uidLastSave="{00000000-0000-0000-0000-000000000000}"/>
  <bookViews>
    <workbookView xWindow="-108" yWindow="-108" windowWidth="23256" windowHeight="13896" firstSheet="2" activeTab="6" xr2:uid="{00000000-000D-0000-FFFF-FFFF00000000}"/>
  </bookViews>
  <sheets>
    <sheet name="Cover Page" sheetId="11" r:id="rId1"/>
    <sheet name="Actual Expenses" sheetId="10" r:id="rId2"/>
    <sheet name="Forecast" sheetId="6" r:id="rId3"/>
    <sheet name="Income Statement" sheetId="8" r:id="rId4"/>
    <sheet name="Sheet3" sheetId="14" r:id="rId5"/>
    <sheet name="Purchase Order(PO)" sheetId="12" r:id="rId6"/>
    <sheet name="Dashboard" sheetId="13" r:id="rId7"/>
    <sheet name="Visuals" sheetId="9" state="hidden" r:id="rId8"/>
  </sheets>
  <definedNames>
    <definedName name="O">'Actual Expenses'!$O$539</definedName>
  </definedNames>
  <calcPr calcId="191029"/>
  <pivotCaches>
    <pivotCache cacheId="2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3" l="1"/>
  <c r="B3" i="13"/>
  <c r="B4" i="13"/>
  <c r="B5" i="13"/>
  <c r="B6" i="13"/>
  <c r="M3" i="12"/>
  <c r="M4" i="12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" i="12"/>
  <c r="L3" i="12"/>
  <c r="L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" i="12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" i="12"/>
  <c r="J38" i="6"/>
  <c r="K38" i="6"/>
  <c r="L38" i="6"/>
  <c r="M38" i="6"/>
  <c r="N38" i="6"/>
  <c r="O38" i="6"/>
  <c r="P38" i="6"/>
  <c r="Q38" i="6"/>
  <c r="Q4" i="6" s="1"/>
  <c r="R38" i="6"/>
  <c r="R4" i="6" s="1"/>
  <c r="S38" i="6"/>
  <c r="S4" i="6" s="1"/>
  <c r="T38" i="6"/>
  <c r="T4" i="6" s="1"/>
  <c r="J39" i="6"/>
  <c r="J5" i="6" s="1"/>
  <c r="K39" i="6"/>
  <c r="K5" i="6" s="1"/>
  <c r="L39" i="6"/>
  <c r="L5" i="6" s="1"/>
  <c r="M39" i="6"/>
  <c r="M5" i="6" s="1"/>
  <c r="N39" i="6"/>
  <c r="N5" i="6" s="1"/>
  <c r="O39" i="6"/>
  <c r="P39" i="6"/>
  <c r="Q39" i="6"/>
  <c r="R39" i="6"/>
  <c r="S39" i="6"/>
  <c r="T39" i="6"/>
  <c r="I38" i="6"/>
  <c r="I4" i="6" s="1"/>
  <c r="J27" i="6"/>
  <c r="K27" i="6"/>
  <c r="L27" i="6"/>
  <c r="M27" i="6"/>
  <c r="N27" i="6"/>
  <c r="O27" i="6"/>
  <c r="P27" i="6"/>
  <c r="Q27" i="6"/>
  <c r="R27" i="6"/>
  <c r="S27" i="6"/>
  <c r="T27" i="6"/>
  <c r="J28" i="6"/>
  <c r="K28" i="6"/>
  <c r="L28" i="6"/>
  <c r="M28" i="6"/>
  <c r="N28" i="6"/>
  <c r="O28" i="6"/>
  <c r="P28" i="6"/>
  <c r="Q28" i="6"/>
  <c r="R28" i="6"/>
  <c r="S28" i="6"/>
  <c r="T28" i="6"/>
  <c r="I27" i="6"/>
  <c r="J4" i="6"/>
  <c r="K4" i="6"/>
  <c r="L4" i="6"/>
  <c r="M4" i="6"/>
  <c r="N4" i="6"/>
  <c r="O4" i="6"/>
  <c r="P4" i="6"/>
  <c r="O5" i="6"/>
  <c r="P5" i="6"/>
  <c r="Q5" i="6"/>
  <c r="R5" i="6"/>
  <c r="S5" i="6"/>
  <c r="T5" i="6"/>
  <c r="J6" i="6"/>
  <c r="K6" i="6"/>
  <c r="L6" i="6"/>
  <c r="F12" i="8" s="1"/>
  <c r="M6" i="6"/>
  <c r="G12" i="8" s="1"/>
  <c r="N6" i="6"/>
  <c r="H12" i="8" s="1"/>
  <c r="O6" i="6"/>
  <c r="P6" i="6"/>
  <c r="Q6" i="6"/>
  <c r="R6" i="6"/>
  <c r="S6" i="6"/>
  <c r="T6" i="6"/>
  <c r="J7" i="6"/>
  <c r="K7" i="6"/>
  <c r="L7" i="6"/>
  <c r="M7" i="6"/>
  <c r="N7" i="6"/>
  <c r="O7" i="6"/>
  <c r="P7" i="6"/>
  <c r="Q7" i="6"/>
  <c r="R7" i="6"/>
  <c r="S7" i="6"/>
  <c r="T7" i="6"/>
  <c r="J8" i="6"/>
  <c r="K8" i="6"/>
  <c r="L8" i="6"/>
  <c r="M8" i="6"/>
  <c r="N8" i="6"/>
  <c r="O8" i="6"/>
  <c r="P8" i="6"/>
  <c r="J13" i="8" s="1"/>
  <c r="Q8" i="6"/>
  <c r="R8" i="6"/>
  <c r="L13" i="8" s="1"/>
  <c r="S8" i="6"/>
  <c r="T8" i="6"/>
  <c r="J9" i="6"/>
  <c r="K9" i="6"/>
  <c r="L9" i="6"/>
  <c r="M9" i="6"/>
  <c r="N9" i="6"/>
  <c r="O9" i="6"/>
  <c r="P9" i="6"/>
  <c r="Q9" i="6"/>
  <c r="R9" i="6"/>
  <c r="S9" i="6"/>
  <c r="T9" i="6"/>
  <c r="J10" i="6"/>
  <c r="D14" i="8" s="1"/>
  <c r="K10" i="6"/>
  <c r="L10" i="6"/>
  <c r="M10" i="6"/>
  <c r="N10" i="6"/>
  <c r="O10" i="6"/>
  <c r="P10" i="6"/>
  <c r="J14" i="8" s="1"/>
  <c r="Q10" i="6"/>
  <c r="K14" i="8" s="1"/>
  <c r="R10" i="6"/>
  <c r="L14" i="8" s="1"/>
  <c r="S10" i="6"/>
  <c r="T10" i="6"/>
  <c r="J11" i="6"/>
  <c r="K11" i="6"/>
  <c r="L11" i="6"/>
  <c r="M11" i="6"/>
  <c r="N11" i="6"/>
  <c r="O11" i="6"/>
  <c r="P11" i="6"/>
  <c r="Q11" i="6"/>
  <c r="R11" i="6"/>
  <c r="S11" i="6"/>
  <c r="T11" i="6"/>
  <c r="I5" i="6"/>
  <c r="I6" i="6"/>
  <c r="I7" i="6"/>
  <c r="I8" i="6"/>
  <c r="I9" i="6"/>
  <c r="I10" i="6"/>
  <c r="I11" i="6"/>
  <c r="F3" i="6"/>
  <c r="G3" i="6"/>
  <c r="H3" i="6"/>
  <c r="E4" i="6"/>
  <c r="E5" i="6"/>
  <c r="E6" i="6"/>
  <c r="E7" i="6"/>
  <c r="E8" i="6"/>
  <c r="E9" i="6"/>
  <c r="E10" i="6"/>
  <c r="E11" i="6"/>
  <c r="E3" i="6"/>
  <c r="B4" i="6"/>
  <c r="C4" i="6"/>
  <c r="D4" i="6"/>
  <c r="F4" i="6"/>
  <c r="G4" i="6"/>
  <c r="H4" i="6"/>
  <c r="B5" i="6"/>
  <c r="C5" i="6"/>
  <c r="D5" i="6"/>
  <c r="F5" i="6"/>
  <c r="G5" i="6"/>
  <c r="H5" i="6"/>
  <c r="B6" i="6"/>
  <c r="C6" i="6"/>
  <c r="D6" i="6"/>
  <c r="F6" i="6"/>
  <c r="G6" i="6"/>
  <c r="H6" i="6"/>
  <c r="B7" i="6"/>
  <c r="C7" i="6"/>
  <c r="D7" i="6"/>
  <c r="F7" i="6"/>
  <c r="G7" i="6"/>
  <c r="H7" i="6"/>
  <c r="B8" i="6"/>
  <c r="C8" i="6"/>
  <c r="D8" i="6"/>
  <c r="F8" i="6"/>
  <c r="G8" i="6"/>
  <c r="H8" i="6"/>
  <c r="B9" i="6"/>
  <c r="C9" i="6"/>
  <c r="D9" i="6"/>
  <c r="F9" i="6"/>
  <c r="G9" i="6"/>
  <c r="H9" i="6"/>
  <c r="B10" i="6"/>
  <c r="C10" i="6"/>
  <c r="D10" i="6"/>
  <c r="F10" i="6"/>
  <c r="G10" i="6"/>
  <c r="H10" i="6"/>
  <c r="B11" i="6"/>
  <c r="C11" i="6"/>
  <c r="D11" i="6"/>
  <c r="F11" i="6"/>
  <c r="G11" i="6"/>
  <c r="H11" i="6"/>
  <c r="C3" i="6"/>
  <c r="D3" i="6"/>
  <c r="I3" i="6"/>
  <c r="J3" i="6"/>
  <c r="K3" i="6"/>
  <c r="L3" i="6"/>
  <c r="M3" i="6"/>
  <c r="N3" i="6"/>
  <c r="O3" i="6"/>
  <c r="P3" i="6"/>
  <c r="Q3" i="6"/>
  <c r="R3" i="6"/>
  <c r="S3" i="6"/>
  <c r="T3" i="6"/>
  <c r="B3" i="6"/>
  <c r="H5" i="10"/>
  <c r="G5" i="10"/>
  <c r="F5" i="10"/>
  <c r="E5" i="10"/>
  <c r="H23" i="6"/>
  <c r="H34" i="6" s="1"/>
  <c r="H45" i="6" s="1"/>
  <c r="G23" i="6"/>
  <c r="G34" i="6" s="1"/>
  <c r="G45" i="6" s="1"/>
  <c r="F23" i="6"/>
  <c r="F34" i="6" s="1"/>
  <c r="F45" i="6" s="1"/>
  <c r="E23" i="6"/>
  <c r="E34" i="6" s="1"/>
  <c r="E45" i="6" s="1"/>
  <c r="D23" i="6"/>
  <c r="D34" i="6" s="1"/>
  <c r="D45" i="6" s="1"/>
  <c r="C23" i="6"/>
  <c r="C34" i="6" s="1"/>
  <c r="C45" i="6" s="1"/>
  <c r="B23" i="6"/>
  <c r="B34" i="6" s="1"/>
  <c r="B45" i="6" s="1"/>
  <c r="H22" i="6"/>
  <c r="H33" i="6" s="1"/>
  <c r="H44" i="6" s="1"/>
  <c r="G22" i="6"/>
  <c r="G33" i="6" s="1"/>
  <c r="G44" i="6" s="1"/>
  <c r="F22" i="6"/>
  <c r="F33" i="6" s="1"/>
  <c r="F44" i="6" s="1"/>
  <c r="E22" i="6"/>
  <c r="E33" i="6" s="1"/>
  <c r="E44" i="6" s="1"/>
  <c r="D22" i="6"/>
  <c r="D33" i="6" s="1"/>
  <c r="D44" i="6" s="1"/>
  <c r="C22" i="6"/>
  <c r="C33" i="6" s="1"/>
  <c r="C44" i="6" s="1"/>
  <c r="B22" i="6"/>
  <c r="B33" i="6" s="1"/>
  <c r="B44" i="6" s="1"/>
  <c r="H21" i="6"/>
  <c r="H32" i="6" s="1"/>
  <c r="H43" i="6" s="1"/>
  <c r="G21" i="6"/>
  <c r="G32" i="6" s="1"/>
  <c r="G43" i="6" s="1"/>
  <c r="F21" i="6"/>
  <c r="F32" i="6" s="1"/>
  <c r="F43" i="6" s="1"/>
  <c r="E21" i="6"/>
  <c r="E32" i="6" s="1"/>
  <c r="E43" i="6" s="1"/>
  <c r="D21" i="6"/>
  <c r="D32" i="6" s="1"/>
  <c r="D43" i="6" s="1"/>
  <c r="C21" i="6"/>
  <c r="C32" i="6" s="1"/>
  <c r="C43" i="6" s="1"/>
  <c r="B21" i="6"/>
  <c r="B32" i="6" s="1"/>
  <c r="B43" i="6" s="1"/>
  <c r="H20" i="6"/>
  <c r="H31" i="6" s="1"/>
  <c r="H42" i="6" s="1"/>
  <c r="G20" i="6"/>
  <c r="G31" i="6" s="1"/>
  <c r="G42" i="6" s="1"/>
  <c r="F20" i="6"/>
  <c r="F31" i="6" s="1"/>
  <c r="F42" i="6" s="1"/>
  <c r="E20" i="6"/>
  <c r="E31" i="6" s="1"/>
  <c r="E42" i="6" s="1"/>
  <c r="D20" i="6"/>
  <c r="D31" i="6" s="1"/>
  <c r="D42" i="6" s="1"/>
  <c r="C20" i="6"/>
  <c r="C31" i="6" s="1"/>
  <c r="C42" i="6" s="1"/>
  <c r="B20" i="6"/>
  <c r="B31" i="6" s="1"/>
  <c r="B42" i="6" s="1"/>
  <c r="H19" i="6"/>
  <c r="H30" i="6" s="1"/>
  <c r="H41" i="6" s="1"/>
  <c r="G19" i="6"/>
  <c r="G30" i="6" s="1"/>
  <c r="G41" i="6" s="1"/>
  <c r="F19" i="6"/>
  <c r="F30" i="6" s="1"/>
  <c r="F41" i="6" s="1"/>
  <c r="E19" i="6"/>
  <c r="E30" i="6" s="1"/>
  <c r="E41" i="6" s="1"/>
  <c r="D19" i="6"/>
  <c r="D30" i="6" s="1"/>
  <c r="D41" i="6" s="1"/>
  <c r="C19" i="6"/>
  <c r="C30" i="6" s="1"/>
  <c r="C41" i="6" s="1"/>
  <c r="B19" i="6"/>
  <c r="B30" i="6" s="1"/>
  <c r="B41" i="6" s="1"/>
  <c r="H18" i="6"/>
  <c r="H29" i="6" s="1"/>
  <c r="H40" i="6" s="1"/>
  <c r="G18" i="6"/>
  <c r="G29" i="6" s="1"/>
  <c r="G40" i="6" s="1"/>
  <c r="F18" i="6"/>
  <c r="F29" i="6" s="1"/>
  <c r="F40" i="6" s="1"/>
  <c r="E18" i="6"/>
  <c r="E29" i="6" s="1"/>
  <c r="E40" i="6" s="1"/>
  <c r="D18" i="6"/>
  <c r="D29" i="6" s="1"/>
  <c r="D40" i="6" s="1"/>
  <c r="C18" i="6"/>
  <c r="C29" i="6" s="1"/>
  <c r="C40" i="6" s="1"/>
  <c r="B18" i="6"/>
  <c r="B29" i="6" s="1"/>
  <c r="B40" i="6" s="1"/>
  <c r="H17" i="6"/>
  <c r="H28" i="6" s="1"/>
  <c r="H39" i="6" s="1"/>
  <c r="G17" i="6"/>
  <c r="G28" i="6" s="1"/>
  <c r="G39" i="6" s="1"/>
  <c r="F17" i="6"/>
  <c r="F28" i="6" s="1"/>
  <c r="F39" i="6" s="1"/>
  <c r="E17" i="6"/>
  <c r="E28" i="6" s="1"/>
  <c r="E39" i="6" s="1"/>
  <c r="D17" i="6"/>
  <c r="D28" i="6" s="1"/>
  <c r="D39" i="6" s="1"/>
  <c r="C17" i="6"/>
  <c r="C28" i="6" s="1"/>
  <c r="C39" i="6" s="1"/>
  <c r="B17" i="6"/>
  <c r="B28" i="6" s="1"/>
  <c r="B39" i="6" s="1"/>
  <c r="H16" i="6"/>
  <c r="H27" i="6" s="1"/>
  <c r="H38" i="6" s="1"/>
  <c r="G16" i="6"/>
  <c r="G27" i="6" s="1"/>
  <c r="G38" i="6" s="1"/>
  <c r="F16" i="6"/>
  <c r="F27" i="6" s="1"/>
  <c r="F38" i="6" s="1"/>
  <c r="E16" i="6"/>
  <c r="E27" i="6" s="1"/>
  <c r="E38" i="6" s="1"/>
  <c r="D16" i="6"/>
  <c r="D27" i="6" s="1"/>
  <c r="D38" i="6" s="1"/>
  <c r="C16" i="6"/>
  <c r="C27" i="6" s="1"/>
  <c r="C38" i="6" s="1"/>
  <c r="B16" i="6"/>
  <c r="B27" i="6" s="1"/>
  <c r="B38" i="6" s="1"/>
  <c r="H15" i="6"/>
  <c r="I15" i="6" s="1"/>
  <c r="G15" i="6"/>
  <c r="G26" i="6" s="1"/>
  <c r="G37" i="6" s="1"/>
  <c r="F15" i="6"/>
  <c r="F26" i="6" s="1"/>
  <c r="F37" i="6" s="1"/>
  <c r="E15" i="6"/>
  <c r="E26" i="6" s="1"/>
  <c r="E37" i="6" s="1"/>
  <c r="D15" i="6"/>
  <c r="D26" i="6" s="1"/>
  <c r="D37" i="6" s="1"/>
  <c r="C15" i="6"/>
  <c r="C26" i="6" s="1"/>
  <c r="C37" i="6" s="1"/>
  <c r="B15" i="6"/>
  <c r="B26" i="6" s="1"/>
  <c r="B37" i="6" s="1"/>
  <c r="I17" i="6"/>
  <c r="I21" i="6"/>
  <c r="I19" i="6"/>
  <c r="I20" i="6"/>
  <c r="I23" i="6"/>
  <c r="I18" i="6"/>
  <c r="I22" i="6"/>
  <c r="I16" i="6"/>
  <c r="I11" i="8" l="1"/>
  <c r="I30" i="8" s="1"/>
  <c r="I31" i="8" s="1"/>
  <c r="I6" i="8" s="1"/>
  <c r="I3" i="9" s="1"/>
  <c r="E13" i="8"/>
  <c r="F13" i="8"/>
  <c r="N14" i="8"/>
  <c r="J12" i="8"/>
  <c r="L12" i="8"/>
  <c r="D13" i="8"/>
  <c r="I14" i="8"/>
  <c r="N11" i="8"/>
  <c r="M11" i="8"/>
  <c r="M30" i="8" s="1"/>
  <c r="M31" i="8" s="1"/>
  <c r="M35" i="8" s="1"/>
  <c r="L11" i="8"/>
  <c r="L30" i="8" s="1"/>
  <c r="L31" i="8" s="1"/>
  <c r="L6" i="8" s="1"/>
  <c r="L3" i="9" s="1"/>
  <c r="C11" i="8"/>
  <c r="C30" i="8" s="1"/>
  <c r="C31" i="8" s="1"/>
  <c r="K12" i="8"/>
  <c r="K15" i="8" s="1"/>
  <c r="M14" i="8"/>
  <c r="N12" i="8"/>
  <c r="I12" i="8"/>
  <c r="N13" i="8"/>
  <c r="H14" i="8"/>
  <c r="I13" i="8"/>
  <c r="H13" i="8"/>
  <c r="F14" i="8"/>
  <c r="G13" i="8"/>
  <c r="M12" i="8"/>
  <c r="C13" i="8"/>
  <c r="K11" i="8"/>
  <c r="K30" i="8" s="1"/>
  <c r="K31" i="8" s="1"/>
  <c r="K6" i="8" s="1"/>
  <c r="K3" i="9" s="1"/>
  <c r="C12" i="8"/>
  <c r="E12" i="8"/>
  <c r="D12" i="8"/>
  <c r="G14" i="8"/>
  <c r="M13" i="8"/>
  <c r="C14" i="8"/>
  <c r="E14" i="8"/>
  <c r="K13" i="8"/>
  <c r="G11" i="8"/>
  <c r="G30" i="8" s="1"/>
  <c r="G31" i="8" s="1"/>
  <c r="G6" i="8" s="1"/>
  <c r="F11" i="8"/>
  <c r="F30" i="8" s="1"/>
  <c r="F31" i="8" s="1"/>
  <c r="F6" i="8" s="1"/>
  <c r="J11" i="8"/>
  <c r="J30" i="8" s="1"/>
  <c r="J31" i="8" s="1"/>
  <c r="E11" i="8"/>
  <c r="E30" i="8" s="1"/>
  <c r="E31" i="8" s="1"/>
  <c r="D11" i="8"/>
  <c r="D30" i="8" s="1"/>
  <c r="D31" i="8" s="1"/>
  <c r="H11" i="8"/>
  <c r="H26" i="6"/>
  <c r="I26" i="6" s="1"/>
  <c r="J26" i="6" s="1"/>
  <c r="K26" i="6" s="1"/>
  <c r="L26" i="6" s="1"/>
  <c r="M26" i="6" s="1"/>
  <c r="N26" i="6" s="1"/>
  <c r="O26" i="6" s="1"/>
  <c r="P26" i="6" s="1"/>
  <c r="Q26" i="6" s="1"/>
  <c r="R26" i="6" s="1"/>
  <c r="S26" i="6" s="1"/>
  <c r="T26" i="6" s="1"/>
  <c r="J15" i="6"/>
  <c r="D5" i="8" s="1"/>
  <c r="C5" i="8"/>
  <c r="C2" i="9" s="1"/>
  <c r="D2" i="9" s="1"/>
  <c r="E2" i="9" s="1"/>
  <c r="F2" i="9" s="1"/>
  <c r="G2" i="9" s="1"/>
  <c r="H2" i="9" s="1"/>
  <c r="I2" i="9" s="1"/>
  <c r="J2" i="9" s="1"/>
  <c r="K2" i="9" s="1"/>
  <c r="L2" i="9" s="1"/>
  <c r="M2" i="9" s="1"/>
  <c r="N2" i="9" s="1"/>
  <c r="I33" i="6"/>
  <c r="I44" i="6"/>
  <c r="I29" i="6"/>
  <c r="I40" i="6"/>
  <c r="I45" i="6"/>
  <c r="I34" i="6"/>
  <c r="I42" i="6"/>
  <c r="I31" i="6"/>
  <c r="I41" i="6"/>
  <c r="I30" i="6"/>
  <c r="I43" i="6"/>
  <c r="I32" i="6"/>
  <c r="I39" i="6"/>
  <c r="I28" i="6"/>
  <c r="B11" i="8" a="1"/>
  <c r="B11" i="8" s="1"/>
  <c r="J16" i="6"/>
  <c r="J23" i="6"/>
  <c r="J20" i="6"/>
  <c r="J19" i="6"/>
  <c r="J22" i="6"/>
  <c r="J18" i="6"/>
  <c r="J21" i="6"/>
  <c r="J17" i="6"/>
  <c r="I35" i="8" l="1"/>
  <c r="I38" i="8" s="1"/>
  <c r="I18" i="8" s="1"/>
  <c r="N15" i="8"/>
  <c r="L15" i="8"/>
  <c r="M6" i="8"/>
  <c r="M3" i="9" s="1"/>
  <c r="N30" i="8"/>
  <c r="N31" i="8" s="1"/>
  <c r="L35" i="8"/>
  <c r="M15" i="8"/>
  <c r="I15" i="8"/>
  <c r="C15" i="8"/>
  <c r="K35" i="8"/>
  <c r="K7" i="8" s="1"/>
  <c r="K8" i="8" s="1"/>
  <c r="K16" i="8" s="1"/>
  <c r="F35" i="8"/>
  <c r="F38" i="8" s="1"/>
  <c r="F18" i="8" s="1"/>
  <c r="G15" i="8"/>
  <c r="F15" i="8"/>
  <c r="G35" i="8"/>
  <c r="G7" i="8" s="1"/>
  <c r="G8" i="8" s="1"/>
  <c r="D35" i="8"/>
  <c r="D6" i="8"/>
  <c r="E6" i="8"/>
  <c r="E35" i="8"/>
  <c r="J35" i="8"/>
  <c r="J6" i="8"/>
  <c r="J3" i="9" s="1"/>
  <c r="D15" i="8"/>
  <c r="F3" i="9"/>
  <c r="E15" i="8"/>
  <c r="J15" i="8"/>
  <c r="L38" i="8"/>
  <c r="L18" i="8" s="1"/>
  <c r="L7" i="8"/>
  <c r="L8" i="8" s="1"/>
  <c r="L16" i="8" s="1"/>
  <c r="M38" i="8"/>
  <c r="M18" i="8" s="1"/>
  <c r="M7" i="8"/>
  <c r="M8" i="8" s="1"/>
  <c r="M16" i="8" s="1"/>
  <c r="N6" i="8"/>
  <c r="N3" i="9" s="1"/>
  <c r="N35" i="8"/>
  <c r="G38" i="8"/>
  <c r="G18" i="8" s="1"/>
  <c r="H15" i="8"/>
  <c r="H30" i="8"/>
  <c r="H31" i="8" s="1"/>
  <c r="G3" i="9"/>
  <c r="C35" i="8"/>
  <c r="C6" i="8"/>
  <c r="H37" i="6"/>
  <c r="I37" i="6" s="1"/>
  <c r="J37" i="6" s="1"/>
  <c r="K37" i="6" s="1"/>
  <c r="L37" i="6" s="1"/>
  <c r="M37" i="6" s="1"/>
  <c r="N37" i="6" s="1"/>
  <c r="O37" i="6" s="1"/>
  <c r="P37" i="6" s="1"/>
  <c r="Q37" i="6" s="1"/>
  <c r="R37" i="6" s="1"/>
  <c r="S37" i="6" s="1"/>
  <c r="T37" i="6" s="1"/>
  <c r="J43" i="6"/>
  <c r="J32" i="6"/>
  <c r="J40" i="6"/>
  <c r="J29" i="6"/>
  <c r="J33" i="6"/>
  <c r="J44" i="6"/>
  <c r="J30" i="6"/>
  <c r="J41" i="6"/>
  <c r="J42" i="6"/>
  <c r="J31" i="6"/>
  <c r="J45" i="6"/>
  <c r="J34" i="6"/>
  <c r="K15" i="6"/>
  <c r="L15" i="6" s="1"/>
  <c r="K17" i="6"/>
  <c r="K21" i="6"/>
  <c r="K18" i="6"/>
  <c r="K16" i="6"/>
  <c r="K20" i="6"/>
  <c r="K22" i="6"/>
  <c r="K19" i="6"/>
  <c r="K23" i="6"/>
  <c r="L18" i="6"/>
  <c r="L20" i="6"/>
  <c r="L23" i="6"/>
  <c r="L19" i="6"/>
  <c r="L22" i="6"/>
  <c r="L16" i="6"/>
  <c r="L21" i="6"/>
  <c r="L17" i="6"/>
  <c r="I7" i="8" l="1"/>
  <c r="I8" i="8" s="1"/>
  <c r="I16" i="8" s="1"/>
  <c r="I19" i="8" s="1"/>
  <c r="K38" i="8"/>
  <c r="K18" i="8" s="1"/>
  <c r="K19" i="8" s="1"/>
  <c r="G16" i="8"/>
  <c r="G19" i="8" s="1"/>
  <c r="G21" i="8" s="1"/>
  <c r="G22" i="8" s="1"/>
  <c r="G4" i="9" s="1"/>
  <c r="F7" i="8"/>
  <c r="F8" i="8" s="1"/>
  <c r="F16" i="8" s="1"/>
  <c r="F19" i="8" s="1"/>
  <c r="F21" i="8" s="1"/>
  <c r="H6" i="8"/>
  <c r="H35" i="8"/>
  <c r="N7" i="8"/>
  <c r="N8" i="8" s="1"/>
  <c r="N16" i="8" s="1"/>
  <c r="N38" i="8"/>
  <c r="N18" i="8" s="1"/>
  <c r="M19" i="8"/>
  <c r="J38" i="8"/>
  <c r="J18" i="8" s="1"/>
  <c r="J7" i="8"/>
  <c r="J8" i="8" s="1"/>
  <c r="J16" i="8" s="1"/>
  <c r="E7" i="8"/>
  <c r="E8" i="8" s="1"/>
  <c r="E16" i="8" s="1"/>
  <c r="E38" i="8"/>
  <c r="E18" i="8" s="1"/>
  <c r="L19" i="8"/>
  <c r="E3" i="9"/>
  <c r="D3" i="9"/>
  <c r="D7" i="8"/>
  <c r="D8" i="8" s="1"/>
  <c r="D16" i="8" s="1"/>
  <c r="D38" i="8"/>
  <c r="D18" i="8" s="1"/>
  <c r="C3" i="9"/>
  <c r="C7" i="8"/>
  <c r="C8" i="8" s="1"/>
  <c r="C16" i="8" s="1"/>
  <c r="C38" i="8"/>
  <c r="C18" i="8" s="1"/>
  <c r="E5" i="8"/>
  <c r="K34" i="6"/>
  <c r="K45" i="6"/>
  <c r="K41" i="6"/>
  <c r="K30" i="6"/>
  <c r="K33" i="6"/>
  <c r="K44" i="6"/>
  <c r="K42" i="6"/>
  <c r="K31" i="6"/>
  <c r="K40" i="6"/>
  <c r="K29" i="6"/>
  <c r="K32" i="6"/>
  <c r="K43" i="6"/>
  <c r="L43" i="6"/>
  <c r="L32" i="6"/>
  <c r="L33" i="6"/>
  <c r="L44" i="6"/>
  <c r="L30" i="6"/>
  <c r="L41" i="6"/>
  <c r="L45" i="6"/>
  <c r="L34" i="6"/>
  <c r="L42" i="6"/>
  <c r="L31" i="6"/>
  <c r="L29" i="6"/>
  <c r="L40" i="6"/>
  <c r="F5" i="8"/>
  <c r="M15" i="6"/>
  <c r="M23" i="6"/>
  <c r="M19" i="6"/>
  <c r="M20" i="6"/>
  <c r="M22" i="6"/>
  <c r="M18" i="6"/>
  <c r="M16" i="6"/>
  <c r="M21" i="6"/>
  <c r="M17" i="6"/>
  <c r="N19" i="8" l="1"/>
  <c r="N21" i="8" s="1"/>
  <c r="N22" i="8" s="1"/>
  <c r="N4" i="9" s="1"/>
  <c r="E19" i="8"/>
  <c r="E21" i="8" s="1"/>
  <c r="E22" i="8" s="1"/>
  <c r="E4" i="9" s="1"/>
  <c r="F22" i="8"/>
  <c r="F4" i="9" s="1"/>
  <c r="D19" i="8"/>
  <c r="D21" i="8" s="1"/>
  <c r="C19" i="8"/>
  <c r="C21" i="8" s="1"/>
  <c r="C22" i="8" s="1"/>
  <c r="C4" i="9" s="1"/>
  <c r="M21" i="8"/>
  <c r="M22" i="8" s="1"/>
  <c r="M4" i="9" s="1"/>
  <c r="H38" i="8"/>
  <c r="H18" i="8" s="1"/>
  <c r="H7" i="8"/>
  <c r="H3" i="9"/>
  <c r="H8" i="8"/>
  <c r="H16" i="8" s="1"/>
  <c r="H19" i="8" s="1"/>
  <c r="J19" i="8"/>
  <c r="I21" i="8"/>
  <c r="I22" i="8" s="1"/>
  <c r="I4" i="9" s="1"/>
  <c r="L21" i="8"/>
  <c r="L22" i="8"/>
  <c r="L4" i="9" s="1"/>
  <c r="K21" i="8"/>
  <c r="K22" i="8" s="1"/>
  <c r="K4" i="9" s="1"/>
  <c r="M43" i="6"/>
  <c r="M32" i="6"/>
  <c r="M29" i="6"/>
  <c r="M40" i="6"/>
  <c r="M33" i="6"/>
  <c r="M44" i="6"/>
  <c r="M31" i="6"/>
  <c r="M42" i="6"/>
  <c r="M30" i="6"/>
  <c r="M41" i="6"/>
  <c r="M34" i="6"/>
  <c r="M45" i="6"/>
  <c r="G5" i="8"/>
  <c r="N15" i="6"/>
  <c r="N23" i="6"/>
  <c r="N20" i="6"/>
  <c r="N19" i="6"/>
  <c r="N22" i="6"/>
  <c r="N18" i="6"/>
  <c r="N21" i="6"/>
  <c r="N17" i="6"/>
  <c r="N16" i="6"/>
  <c r="D22" i="8" l="1"/>
  <c r="D4" i="9" s="1"/>
  <c r="J21" i="8"/>
  <c r="J22" i="8" s="1"/>
  <c r="J4" i="9" s="1"/>
  <c r="H21" i="8"/>
  <c r="H22" i="8" s="1"/>
  <c r="H4" i="9" s="1"/>
  <c r="N43" i="6"/>
  <c r="N32" i="6"/>
  <c r="N29" i="6"/>
  <c r="N40" i="6"/>
  <c r="N33" i="6"/>
  <c r="N44" i="6"/>
  <c r="N30" i="6"/>
  <c r="N41" i="6"/>
  <c r="N42" i="6"/>
  <c r="N31" i="6"/>
  <c r="N45" i="6"/>
  <c r="N34" i="6"/>
  <c r="H5" i="8"/>
  <c r="O15" i="6"/>
  <c r="O23" i="6"/>
  <c r="O20" i="6"/>
  <c r="O19" i="6"/>
  <c r="O22" i="6"/>
  <c r="O18" i="6"/>
  <c r="O17" i="6"/>
  <c r="O21" i="6"/>
  <c r="O16" i="6"/>
  <c r="O43" i="6" l="1"/>
  <c r="O32" i="6"/>
  <c r="O29" i="6"/>
  <c r="O40" i="6"/>
  <c r="O33" i="6"/>
  <c r="O44" i="6"/>
  <c r="O30" i="6"/>
  <c r="O41" i="6"/>
  <c r="O42" i="6"/>
  <c r="O31" i="6"/>
  <c r="O45" i="6"/>
  <c r="O34" i="6"/>
  <c r="I5" i="8"/>
  <c r="P15" i="6"/>
  <c r="P19" i="6"/>
  <c r="P23" i="6"/>
  <c r="P20" i="6"/>
  <c r="P22" i="6"/>
  <c r="P18" i="6"/>
  <c r="P21" i="6"/>
  <c r="P17" i="6"/>
  <c r="P16" i="6"/>
  <c r="P43" i="6" l="1"/>
  <c r="P32" i="6"/>
  <c r="P40" i="6"/>
  <c r="P29" i="6"/>
  <c r="P44" i="6"/>
  <c r="P33" i="6"/>
  <c r="P42" i="6"/>
  <c r="P31" i="6"/>
  <c r="P45" i="6"/>
  <c r="P34" i="6"/>
  <c r="P30" i="6"/>
  <c r="P41" i="6"/>
  <c r="J5" i="8"/>
  <c r="Q15" i="6"/>
  <c r="Q23" i="6"/>
  <c r="Q20" i="6"/>
  <c r="Q19" i="6"/>
  <c r="Q22" i="6"/>
  <c r="Q21" i="6"/>
  <c r="Q18" i="6"/>
  <c r="Q17" i="6"/>
  <c r="Q16" i="6"/>
  <c r="Q40" i="6" l="1"/>
  <c r="Q29" i="6"/>
  <c r="Q43" i="6"/>
  <c r="Q32" i="6"/>
  <c r="Q44" i="6"/>
  <c r="Q33" i="6"/>
  <c r="Q41" i="6"/>
  <c r="Q30" i="6"/>
  <c r="Q42" i="6"/>
  <c r="Q31" i="6"/>
  <c r="Q34" i="6"/>
  <c r="Q45" i="6"/>
  <c r="K5" i="8"/>
  <c r="R15" i="6"/>
  <c r="R23" i="6"/>
  <c r="R19" i="6"/>
  <c r="R22" i="6"/>
  <c r="R20" i="6"/>
  <c r="R21" i="6"/>
  <c r="R18" i="6"/>
  <c r="R17" i="6"/>
  <c r="R16" i="6"/>
  <c r="R40" i="6" l="1"/>
  <c r="R29" i="6"/>
  <c r="R43" i="6"/>
  <c r="R32" i="6"/>
  <c r="R42" i="6"/>
  <c r="R31" i="6"/>
  <c r="R44" i="6"/>
  <c r="R33" i="6"/>
  <c r="R41" i="6"/>
  <c r="R30" i="6"/>
  <c r="R45" i="6"/>
  <c r="R34" i="6"/>
  <c r="L5" i="8"/>
  <c r="S15" i="6"/>
  <c r="S19" i="6"/>
  <c r="S23" i="6"/>
  <c r="S20" i="6"/>
  <c r="S22" i="6"/>
  <c r="S18" i="6"/>
  <c r="S21" i="6"/>
  <c r="S17" i="6"/>
  <c r="S16" i="6"/>
  <c r="S43" i="6" l="1"/>
  <c r="S32" i="6"/>
  <c r="S40" i="6"/>
  <c r="S29" i="6"/>
  <c r="S44" i="6"/>
  <c r="S33" i="6"/>
  <c r="S42" i="6"/>
  <c r="S31" i="6"/>
  <c r="S45" i="6"/>
  <c r="S34" i="6"/>
  <c r="S41" i="6"/>
  <c r="S30" i="6"/>
  <c r="T15" i="6"/>
  <c r="M5" i="8"/>
  <c r="T23" i="6"/>
  <c r="T20" i="6"/>
  <c r="T19" i="6"/>
  <c r="T22" i="6"/>
  <c r="T18" i="6"/>
  <c r="T21" i="6"/>
  <c r="T17" i="6"/>
  <c r="T16" i="6"/>
  <c r="T43" i="6" l="1"/>
  <c r="T32" i="6"/>
  <c r="T40" i="6"/>
  <c r="T29" i="6"/>
  <c r="T44" i="6"/>
  <c r="T33" i="6"/>
  <c r="T41" i="6"/>
  <c r="T30" i="6"/>
  <c r="T42" i="6"/>
  <c r="T31" i="6"/>
  <c r="T45" i="6"/>
  <c r="T34" i="6"/>
  <c r="N5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<sst xmlns="http://schemas.openxmlformats.org/spreadsheetml/2006/main" count="256" uniqueCount="155">
  <si>
    <t>Budget &amp; Forecast Model</t>
  </si>
  <si>
    <r>
      <rPr>
        <sz val="16"/>
        <color theme="1"/>
        <rFont val="Calibri"/>
        <charset val="134"/>
        <scheme val="minor"/>
      </rPr>
      <t xml:space="preserve">Get </t>
    </r>
    <r>
      <rPr>
        <b/>
        <sz val="16"/>
        <color theme="1"/>
        <rFont val="Calibri"/>
        <charset val="134"/>
        <scheme val="minor"/>
      </rPr>
      <t>10% OFF</t>
    </r>
    <r>
      <rPr>
        <sz val="16"/>
        <color theme="1"/>
        <rFont val="Calibri"/>
        <charset val="134"/>
        <scheme val="minor"/>
      </rPr>
      <t xml:space="preserve"> our course using coupon code </t>
    </r>
    <r>
      <rPr>
        <b/>
        <sz val="16"/>
        <color theme="1"/>
        <rFont val="Calibri"/>
        <charset val="134"/>
        <scheme val="minor"/>
      </rPr>
      <t>EMAIL10</t>
    </r>
  </si>
  <si>
    <t>Get our Complete Finance &amp; Valuation Course</t>
  </si>
  <si>
    <t>Go to Sheet 1 -&gt; here</t>
  </si>
  <si>
    <t>Made by Career Principles Ltd.</t>
  </si>
  <si>
    <t>Note</t>
  </si>
  <si>
    <t>All content is copyright material of Career Principles Ltd.</t>
  </si>
  <si>
    <t>This Excel model may not be reproduced or distributed by any means, including printing, 
screencapturing, or any other method without the prior permission of the publisher.</t>
  </si>
  <si>
    <t>Start Date</t>
  </si>
  <si>
    <t>Actual Operating Expenses</t>
  </si>
  <si>
    <t>Account #</t>
  </si>
  <si>
    <t>Department</t>
  </si>
  <si>
    <t>Description</t>
  </si>
  <si>
    <t>Marketing</t>
  </si>
  <si>
    <t>Paid Ads</t>
  </si>
  <si>
    <t>Infuencers</t>
  </si>
  <si>
    <t>Engineering</t>
  </si>
  <si>
    <t>Consulting</t>
  </si>
  <si>
    <t>Travel</t>
  </si>
  <si>
    <t>Support</t>
  </si>
  <si>
    <t>Software</t>
  </si>
  <si>
    <t>Call Center</t>
  </si>
  <si>
    <t>HR</t>
  </si>
  <si>
    <t>Recruiting Events</t>
  </si>
  <si>
    <t>Meetups</t>
  </si>
  <si>
    <t>Actuals</t>
  </si>
  <si>
    <t>Forecast</t>
  </si>
  <si>
    <t>x</t>
  </si>
  <si>
    <t>3. Worst Case</t>
  </si>
  <si>
    <t>Operating Expenses Scenario</t>
  </si>
  <si>
    <t>Income Statement Forecast</t>
  </si>
  <si>
    <t>in USD</t>
  </si>
  <si>
    <t>Revenue</t>
  </si>
  <si>
    <t>COGS</t>
  </si>
  <si>
    <t>Gross Profit</t>
  </si>
  <si>
    <t>Operating expenses:</t>
  </si>
  <si>
    <t>Total operating expenses</t>
  </si>
  <si>
    <t>Operating income</t>
  </si>
  <si>
    <t>Other income / (expense), net</t>
  </si>
  <si>
    <t>Pre-tax income</t>
  </si>
  <si>
    <t>Taxes</t>
  </si>
  <si>
    <t>Net Income</t>
  </si>
  <si>
    <t>Assumptions</t>
  </si>
  <si>
    <t>Customer Acquisition Cost</t>
  </si>
  <si>
    <t>Price</t>
  </si>
  <si>
    <t>Units Sold</t>
  </si>
  <si>
    <t>Other</t>
  </si>
  <si>
    <t>COGS % of Revenue</t>
  </si>
  <si>
    <t>Other income / (expense), net % of COGS</t>
  </si>
  <si>
    <t>Tax Rate</t>
  </si>
  <si>
    <t>Profit Margin</t>
  </si>
  <si>
    <t>Best</t>
  </si>
  <si>
    <t>Worst</t>
  </si>
  <si>
    <t>1. Base Case</t>
  </si>
  <si>
    <t>2. Best Case</t>
  </si>
  <si>
    <t>Live Case</t>
  </si>
  <si>
    <t>PO Number</t>
  </si>
  <si>
    <t>Vendor</t>
  </si>
  <si>
    <t>Budget</t>
  </si>
  <si>
    <t>Actual Spend</t>
  </si>
  <si>
    <t>Variance</t>
  </si>
  <si>
    <t>Status</t>
  </si>
  <si>
    <t>PO Date</t>
  </si>
  <si>
    <t>Category</t>
  </si>
  <si>
    <t>Amount</t>
  </si>
  <si>
    <t>Payment Date</t>
  </si>
  <si>
    <t>PO1001</t>
  </si>
  <si>
    <t>PO1002</t>
  </si>
  <si>
    <t>PO1003</t>
  </si>
  <si>
    <t>PO1004</t>
  </si>
  <si>
    <t>PO1005</t>
  </si>
  <si>
    <t>PO1006</t>
  </si>
  <si>
    <t>PO1007</t>
  </si>
  <si>
    <t>PO1008</t>
  </si>
  <si>
    <t>PO1009</t>
  </si>
  <si>
    <t>PO1010</t>
  </si>
  <si>
    <t>PO1011</t>
  </si>
  <si>
    <t>PO1012</t>
  </si>
  <si>
    <t>PO1013</t>
  </si>
  <si>
    <t>PO1014</t>
  </si>
  <si>
    <t>PO1015</t>
  </si>
  <si>
    <t>PO1016</t>
  </si>
  <si>
    <t>PO1017</t>
  </si>
  <si>
    <t>PO1018</t>
  </si>
  <si>
    <t>PO1019</t>
  </si>
  <si>
    <t>PO1020</t>
  </si>
  <si>
    <t>2025-01-03</t>
  </si>
  <si>
    <t>Google Ads</t>
  </si>
  <si>
    <t>Advertising</t>
  </si>
  <si>
    <t>Paid</t>
  </si>
  <si>
    <t>2025-01-20</t>
  </si>
  <si>
    <t>2025-01-05</t>
  </si>
  <si>
    <t>Meta Ads</t>
  </si>
  <si>
    <t>2025-01-22</t>
  </si>
  <si>
    <t>2025-01-06</t>
  </si>
  <si>
    <t>ABC Recruiters</t>
  </si>
  <si>
    <t>Recruitment</t>
  </si>
  <si>
    <t>2025-01-25</t>
  </si>
  <si>
    <t>2025-01-08</t>
  </si>
  <si>
    <t>Dell</t>
  </si>
  <si>
    <t>Hardware</t>
  </si>
  <si>
    <t>2025-01-28</t>
  </si>
  <si>
    <t>2025-01-10</t>
  </si>
  <si>
    <t>Freshdesk</t>
  </si>
  <si>
    <t>2025-01-30</t>
  </si>
  <si>
    <t>2025-02-03</t>
  </si>
  <si>
    <t>2025-02-18</t>
  </si>
  <si>
    <t>2025-02-05</t>
  </si>
  <si>
    <t>LinkedIn</t>
  </si>
  <si>
    <t>2025-02-20</t>
  </si>
  <si>
    <t>2025-02-06</t>
  </si>
  <si>
    <t>AWS</t>
  </si>
  <si>
    <t>Cloud Services</t>
  </si>
  <si>
    <t>2025-02-22</t>
  </si>
  <si>
    <t>2025-02-09</t>
  </si>
  <si>
    <t>Finance</t>
  </si>
  <si>
    <t>KPMG</t>
  </si>
  <si>
    <t>2025-02-25</t>
  </si>
  <si>
    <t>2025-02-12</t>
  </si>
  <si>
    <t>Zoho</t>
  </si>
  <si>
    <t>2025-02-28</t>
  </si>
  <si>
    <t>2025-03-02</t>
  </si>
  <si>
    <t>2025-03-19</t>
  </si>
  <si>
    <t>2025-03-04</t>
  </si>
  <si>
    <t>2025-03-21</t>
  </si>
  <si>
    <t>2025-03-05</t>
  </si>
  <si>
    <t>2025-03-23</t>
  </si>
  <si>
    <t>2025-03-08</t>
  </si>
  <si>
    <t>2025-03-26</t>
  </si>
  <si>
    <t>2025-03-11</t>
  </si>
  <si>
    <t>EY</t>
  </si>
  <si>
    <t>2025-03-29</t>
  </si>
  <si>
    <t>2025-04-03</t>
  </si>
  <si>
    <t>2025-04-19</t>
  </si>
  <si>
    <t>2025-04-05</t>
  </si>
  <si>
    <t>Azure</t>
  </si>
  <si>
    <t>2025-04-21</t>
  </si>
  <si>
    <t>2025-04-07</t>
  </si>
  <si>
    <t>2025-04-23</t>
  </si>
  <si>
    <t>2025-04-10</t>
  </si>
  <si>
    <t>2025-04-25</t>
  </si>
  <si>
    <t>2025-04-12</t>
  </si>
  <si>
    <t>2025-04-28</t>
  </si>
  <si>
    <t>Variance%</t>
  </si>
  <si>
    <t>Budget Status</t>
  </si>
  <si>
    <t>Total Budget</t>
  </si>
  <si>
    <t>Total Actual Spend</t>
  </si>
  <si>
    <t>Total Variance</t>
  </si>
  <si>
    <t>Total POs</t>
  </si>
  <si>
    <t>Over Budget POs</t>
  </si>
  <si>
    <t>Row Labels</t>
  </si>
  <si>
    <t>Grand Total</t>
  </si>
  <si>
    <t>Sum of Actual Spend</t>
  </si>
  <si>
    <t>Sum of Budget</t>
  </si>
  <si>
    <t>Count of PO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</si>
</sst>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%"/>
    <numFmt numFmtId="167" formatCode="[$$-C09]#,##0.00"/>
    <numFmt numFmtId="168" formatCode="[$$-C09]#,##0"/>
  </numFmts>
  <fonts count="19">
    <font>
      <sz val="12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rgb="FF0432FF"/>
      <name val="Calibri"/>
      <charset val="134"/>
      <scheme val="minor"/>
    </font>
    <font>
      <sz val="12"/>
      <color theme="0"/>
      <name val="Calibri"/>
      <charset val="134"/>
      <scheme val="minor"/>
    </font>
    <font>
      <b/>
      <sz val="12"/>
      <color rgb="FF0432FF"/>
      <name val="Calibri"/>
      <charset val="134"/>
      <scheme val="minor"/>
    </font>
    <font>
      <b/>
      <sz val="60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u/>
      <sz val="20"/>
      <color theme="4"/>
      <name val="Calibri"/>
      <charset val="134"/>
      <scheme val="minor"/>
    </font>
    <font>
      <u/>
      <sz val="12"/>
      <color theme="10"/>
      <name val="Calibri"/>
      <charset val="134"/>
      <scheme val="minor"/>
    </font>
    <font>
      <i/>
      <sz val="14"/>
      <color rgb="FF0432FF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Arial Unicode MS"/>
    </font>
  </fonts>
  <fills count="9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7367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rgb="FFFFFF00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</borders>
  <cellStyleXfs count="6">
    <xf numFmtId="0" fontId="0" fillId="0" borderId="0"/>
    <xf numFmtId="9" fontId="14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4" fillId="0" borderId="0"/>
  </cellStyleXfs>
  <cellXfs count="64">
    <xf numFmtId="0" fontId="0" fillId="0" borderId="0" xfId="0"/>
    <xf numFmtId="17" fontId="1" fillId="2" borderId="0" xfId="0" applyNumberFormat="1" applyFont="1" applyFill="1" applyAlignment="1">
      <alignment horizontal="left"/>
    </xf>
    <xf numFmtId="17" fontId="1" fillId="2" borderId="0" xfId="0" applyNumberFormat="1" applyFont="1" applyFill="1" applyAlignment="1">
      <alignment horizontal="center"/>
    </xf>
    <xf numFmtId="3" fontId="0" fillId="0" borderId="0" xfId="0" applyNumberFormat="1"/>
    <xf numFmtId="166" fontId="0" fillId="0" borderId="0" xfId="1" applyNumberFormat="1" applyFont="1"/>
    <xf numFmtId="0" fontId="2" fillId="0" borderId="0" xfId="0" applyFont="1"/>
    <xf numFmtId="0" fontId="2" fillId="3" borderId="1" xfId="0" applyFont="1" applyFill="1" applyBorder="1" applyAlignment="1">
      <alignment horizontal="center"/>
    </xf>
    <xf numFmtId="17" fontId="1" fillId="4" borderId="0" xfId="0" applyNumberFormat="1" applyFont="1" applyFill="1" applyAlignment="1">
      <alignment horizontal="left"/>
    </xf>
    <xf numFmtId="17" fontId="1" fillId="4" borderId="0" xfId="0" applyNumberFormat="1" applyFont="1" applyFill="1" applyAlignment="1">
      <alignment horizontal="center"/>
    </xf>
    <xf numFmtId="0" fontId="2" fillId="0" borderId="2" xfId="0" applyFont="1" applyBorder="1"/>
    <xf numFmtId="3" fontId="2" fillId="0" borderId="2" xfId="0" applyNumberFormat="1" applyFont="1" applyBorder="1"/>
    <xf numFmtId="3" fontId="0" fillId="0" borderId="0" xfId="0" applyNumberFormat="1" applyAlignment="1">
      <alignment horizontal="center"/>
    </xf>
    <xf numFmtId="0" fontId="0" fillId="0" borderId="0" xfId="0" applyAlignment="1">
      <alignment horizontal="left" indent="1"/>
    </xf>
    <xf numFmtId="3" fontId="0" fillId="0" borderId="0" xfId="0" applyNumberFormat="1" applyAlignment="1">
      <alignment horizontal="right"/>
    </xf>
    <xf numFmtId="3" fontId="2" fillId="0" borderId="2" xfId="0" applyNumberFormat="1" applyFont="1" applyBorder="1" applyAlignment="1">
      <alignment horizontal="right"/>
    </xf>
    <xf numFmtId="0" fontId="2" fillId="3" borderId="3" xfId="0" applyFont="1" applyFill="1" applyBorder="1"/>
    <xf numFmtId="3" fontId="2" fillId="3" borderId="3" xfId="0" applyNumberFormat="1" applyFont="1" applyFill="1" applyBorder="1"/>
    <xf numFmtId="0" fontId="2" fillId="5" borderId="0" xfId="0" applyFont="1" applyFill="1"/>
    <xf numFmtId="0" fontId="3" fillId="0" borderId="0" xfId="0" applyFont="1"/>
    <xf numFmtId="9" fontId="3" fillId="0" borderId="0" xfId="0" applyNumberFormat="1" applyFont="1"/>
    <xf numFmtId="9" fontId="0" fillId="0" borderId="0" xfId="0" applyNumberFormat="1"/>
    <xf numFmtId="166" fontId="3" fillId="0" borderId="0" xfId="0" applyNumberFormat="1" applyFont="1"/>
    <xf numFmtId="0" fontId="1" fillId="4" borderId="0" xfId="0" applyFont="1" applyFill="1"/>
    <xf numFmtId="167" fontId="4" fillId="4" borderId="0" xfId="0" applyNumberFormat="1" applyFont="1" applyFill="1"/>
    <xf numFmtId="0" fontId="1" fillId="6" borderId="0" xfId="0" applyFont="1" applyFill="1"/>
    <xf numFmtId="0" fontId="4" fillId="4" borderId="0" xfId="0" applyFont="1" applyFill="1"/>
    <xf numFmtId="0" fontId="1" fillId="2" borderId="0" xfId="0" applyFont="1" applyFill="1" applyAlignment="1">
      <alignment horizontal="center"/>
    </xf>
    <xf numFmtId="1" fontId="0" fillId="0" borderId="0" xfId="0" applyNumberFormat="1" applyAlignment="1">
      <alignment horizontal="center"/>
    </xf>
    <xf numFmtId="168" fontId="0" fillId="0" borderId="0" xfId="0" applyNumberFormat="1" applyAlignment="1">
      <alignment horizontal="left"/>
    </xf>
    <xf numFmtId="167" fontId="0" fillId="0" borderId="0" xfId="0" applyNumberFormat="1"/>
    <xf numFmtId="0" fontId="2" fillId="0" borderId="0" xfId="0" applyFont="1" applyAlignment="1">
      <alignment horizontal="left"/>
    </xf>
    <xf numFmtId="17" fontId="5" fillId="3" borderId="1" xfId="0" applyNumberFormat="1" applyFont="1" applyFill="1" applyBorder="1" applyAlignment="1">
      <alignment horizontal="center"/>
    </xf>
    <xf numFmtId="0" fontId="0" fillId="4" borderId="0" xfId="0" applyFill="1"/>
    <xf numFmtId="3" fontId="3" fillId="0" borderId="0" xfId="0" applyNumberFormat="1" applyFont="1" applyAlignment="1">
      <alignment horizontal="center"/>
    </xf>
    <xf numFmtId="0" fontId="14" fillId="4" borderId="0" xfId="5" applyFill="1" applyAlignment="1">
      <alignment vertical="center"/>
    </xf>
    <xf numFmtId="0" fontId="14" fillId="4" borderId="0" xfId="5" applyFill="1"/>
    <xf numFmtId="0" fontId="14" fillId="0" borderId="4" xfId="5" applyBorder="1"/>
    <xf numFmtId="0" fontId="6" fillId="0" borderId="5" xfId="5" applyFont="1" applyBorder="1" applyAlignment="1">
      <alignment horizontal="center" vertical="center"/>
    </xf>
    <xf numFmtId="0" fontId="14" fillId="0" borderId="6" xfId="5" applyBorder="1"/>
    <xf numFmtId="0" fontId="14" fillId="0" borderId="7" xfId="5" applyBorder="1"/>
    <xf numFmtId="0" fontId="6" fillId="0" borderId="0" xfId="5" applyFont="1" applyAlignment="1">
      <alignment horizontal="center" vertical="center"/>
    </xf>
    <xf numFmtId="0" fontId="14" fillId="0" borderId="8" xfId="5" applyBorder="1"/>
    <xf numFmtId="0" fontId="14" fillId="0" borderId="0" xfId="5"/>
    <xf numFmtId="0" fontId="7" fillId="0" borderId="0" xfId="5" applyFont="1" applyAlignment="1">
      <alignment horizontal="center"/>
    </xf>
    <xf numFmtId="0" fontId="14" fillId="0" borderId="7" xfId="5" applyBorder="1" applyAlignment="1">
      <alignment vertical="center"/>
    </xf>
    <xf numFmtId="0" fontId="8" fillId="7" borderId="9" xfId="2" applyFont="1" applyFill="1" applyBorder="1" applyAlignment="1">
      <alignment horizontal="center" vertical="center"/>
    </xf>
    <xf numFmtId="0" fontId="14" fillId="0" borderId="8" xfId="5" applyBorder="1" applyAlignment="1">
      <alignment vertical="center"/>
    </xf>
    <xf numFmtId="0" fontId="9" fillId="0" borderId="0" xfId="2"/>
    <xf numFmtId="0" fontId="10" fillId="0" borderId="0" xfId="3" applyFont="1" applyFill="1" applyBorder="1"/>
    <xf numFmtId="0" fontId="11" fillId="0" borderId="10" xfId="5" applyFont="1" applyBorder="1"/>
    <xf numFmtId="0" fontId="14" fillId="0" borderId="0" xfId="5" applyAlignment="1">
      <alignment vertical="top" wrapText="1"/>
    </xf>
    <xf numFmtId="0" fontId="14" fillId="0" borderId="11" xfId="5" applyBorder="1"/>
    <xf numFmtId="0" fontId="14" fillId="0" borderId="10" xfId="5" applyBorder="1"/>
    <xf numFmtId="0" fontId="14" fillId="0" borderId="12" xfId="5" applyBorder="1"/>
    <xf numFmtId="0" fontId="0" fillId="0" borderId="13" xfId="0" applyBorder="1"/>
    <xf numFmtId="9" fontId="0" fillId="8" borderId="14" xfId="0" applyNumberFormat="1" applyFill="1" applyBorder="1"/>
    <xf numFmtId="0" fontId="15" fillId="0" borderId="0" xfId="0" applyFont="1" applyAlignment="1">
      <alignment horizontal="center" vertical="center" wrapText="1"/>
    </xf>
    <xf numFmtId="0" fontId="16" fillId="0" borderId="0" xfId="0" applyFont="1"/>
    <xf numFmtId="0" fontId="17" fillId="0" borderId="0" xfId="0" applyNumberFormat="1" applyFont="1" applyFill="1" applyBorder="1" applyAlignment="1" applyProtection="1"/>
    <xf numFmtId="0" fontId="16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6">
    <cellStyle name="Hyperlink" xfId="2" builtinId="8"/>
    <cellStyle name="Hyperlink 2" xfId="3" xr:uid="{00000000-0005-0000-0000-000031000000}"/>
    <cellStyle name="Hyperlink 3" xfId="4" xr:uid="{00000000-0005-0000-0000-000032000000}"/>
    <cellStyle name="Normal" xfId="0" builtinId="0"/>
    <cellStyle name="Normal 2" xfId="5" xr:uid="{00000000-0005-0000-0000-000033000000}"/>
    <cellStyle name="Percent" xfId="1" builtinId="5"/>
  </cellStyles>
  <dxfs count="0"/>
  <tableStyles count="0" defaultTableStyle="TableStyleMedium2" defaultPivotStyle="PivotStyleLight16"/>
  <colors>
    <mruColors>
      <color rgb="FF073673"/>
      <color rgb="FFFFFF99"/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[Purchase-to-Pay (P2P) Budget Tracking &amp; Forecasting Dashboard in Excel.xlsx]Dashboard!PivotTable5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Dashboard!$G$2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Dashboard!$F$3:$F$8</c:f>
              <c:strCache>
                <c:ptCount val="5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Marketing</c:v>
                </c:pt>
                <c:pt idx="4">
                  <c:v>Support</c:v>
                </c:pt>
              </c:strCache>
            </c:strRef>
          </c:cat>
          <c:val>
            <c:numRef>
              <c:f>Dashboard!$G$3:$G$8</c:f>
              <c:numCache>
                <c:formatCode>General</c:formatCode>
                <c:ptCount val="5"/>
                <c:pt idx="0">
                  <c:v>351000</c:v>
                </c:pt>
                <c:pt idx="1">
                  <c:v>165000</c:v>
                </c:pt>
                <c:pt idx="2">
                  <c:v>108000</c:v>
                </c:pt>
                <c:pt idx="3">
                  <c:v>225000</c:v>
                </c:pt>
                <c:pt idx="4">
                  <c:v>108000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D3-494C-945C-4F4DD25D4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8214144"/>
        <c:axId val="938231904"/>
      </c:barChart>
      <c:catAx>
        <c:axId val="93821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231904"/>
        <c:crosses val="autoZero"/>
        <c:auto val="1"/>
        <c:lblAlgn val="ctr"/>
        <c:lblOffset val="100"/>
        <c:noMultiLvlLbl val="0"/>
      </c:catAx>
      <c:valAx>
        <c:axId val="93823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214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[Purchase-to-Pay (P2P) Budget Tracking &amp; Forecasting Dashboard in Excel.xlsx]Dashboard!PivotTable6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Dashboard!$B$11</c:f>
              <c:strCache>
                <c:ptCount val="1"/>
                <c:pt idx="0">
                  <c:v>Sum of 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Dashboard!$A$12:$A$17</c:f>
              <c:strCache>
                <c:ptCount val="5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Marketing</c:v>
                </c:pt>
                <c:pt idx="4">
                  <c:v>Support</c:v>
                </c:pt>
              </c:strCache>
            </c:strRef>
          </c:cat>
          <c:val>
            <c:numRef>
              <c:f>Dashboard!$B$12:$B$17</c:f>
              <c:numCache>
                <c:formatCode>General</c:formatCode>
                <c:ptCount val="5"/>
                <c:pt idx="0">
                  <c:v>400000</c:v>
                </c:pt>
                <c:pt idx="1">
                  <c:v>180000</c:v>
                </c:pt>
                <c:pt idx="2">
                  <c:v>120000</c:v>
                </c:pt>
                <c:pt idx="3">
                  <c:v>250000</c:v>
                </c:pt>
                <c:pt idx="4">
                  <c:v>160000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EE-4081-A0C1-502EFB3823ED}"/>
            </c:ext>
          </c:extLst>
        </c:ser>
        <c:ser>
          <c:idx val="1"/>
          <c:order val="1"/>
          <c:tx>
            <c:strRef>
              <c:f>Dashboard!$C$11</c:f>
              <c:strCache>
                <c:ptCount val="1"/>
                <c:pt idx="0">
                  <c:v>Sum of Actual Spend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Dashboard!$A$12:$A$17</c:f>
              <c:strCache>
                <c:ptCount val="5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Marketing</c:v>
                </c:pt>
                <c:pt idx="4">
                  <c:v>Support</c:v>
                </c:pt>
              </c:strCache>
            </c:strRef>
          </c:cat>
          <c:val>
            <c:numRef>
              <c:f>Dashboard!$C$12:$C$17</c:f>
              <c:numCache>
                <c:formatCode>General</c:formatCode>
                <c:ptCount val="5"/>
                <c:pt idx="0">
                  <c:v>351000</c:v>
                </c:pt>
                <c:pt idx="1">
                  <c:v>165000</c:v>
                </c:pt>
                <c:pt idx="2">
                  <c:v>108000</c:v>
                </c:pt>
                <c:pt idx="3">
                  <c:v>225000</c:v>
                </c:pt>
                <c:pt idx="4">
                  <c:v>108000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EE-4081-A0C1-502EFB382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1514640"/>
        <c:axId val="1291498800"/>
      </c:barChart>
      <c:catAx>
        <c:axId val="1291514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498800"/>
        <c:crosses val="autoZero"/>
        <c:auto val="1"/>
        <c:lblAlgn val="ctr"/>
        <c:lblOffset val="100"/>
        <c:noMultiLvlLbl val="0"/>
      </c:catAx>
      <c:valAx>
        <c:axId val="129149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514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[Purchase-to-Pay (P2P) Budget Tracking &amp; Forecasting Dashboard in Excel.xlsx]Dashboard!PivotTable7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Dashboard!$K$11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Dashboard!$J$12:$J$13</c:f>
              <c:strCache>
                <c:ptCount val="1"/>
                <c:pt idx="0">
                  <c:v>Paid</c:v>
                </c:pt>
              </c:strCache>
            </c:strRef>
          </c:cat>
          <c:val>
            <c:numRef>
              <c:f>Dashboard!$K$12:$K$13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F3-4556-9F2A-767BBBDD6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Visuals!$B$3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73673"/>
            </a:solidFill>
            <a:ln>
              <a:noFill/>
            </a:ln>
            <a:effectLst/>
          </c:spPr>
          <c:invertIfNegative val="0"/>
          <c:cat>
            <c:numRef>
              <c:f>Visuals!$C$2:$N$2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Visuals!$C$3:$N$3</c:f>
              <c:numCache>
                <c:formatCode>#,##0</c:formatCode>
                <c:ptCount val="12"/>
                <c:pt idx="0">
                  <c:v>642803.63126347377</c:v>
                </c:pt>
                <c:pt idx="1">
                  <c:v>635278.79751757276</c:v>
                </c:pt>
                <c:pt idx="2">
                  <c:v>643737.6337176942</c:v>
                </c:pt>
                <c:pt idx="3">
                  <c:v>634872.26722875552</c:v>
                </c:pt>
                <c:pt idx="4">
                  <c:v>643019.7562449706</c:v>
                </c:pt>
                <c:pt idx="5">
                  <c:v>816950.2984608222</c:v>
                </c:pt>
                <c:pt idx="6">
                  <c:v>824817.63451404381</c:v>
                </c:pt>
                <c:pt idx="7">
                  <c:v>815164.473492697</c:v>
                </c:pt>
                <c:pt idx="8">
                  <c:v>823345.94103681704</c:v>
                </c:pt>
                <c:pt idx="9">
                  <c:v>813218.41722638579</c:v>
                </c:pt>
                <c:pt idx="10">
                  <c:v>823040.64764750982</c:v>
                </c:pt>
                <c:pt idx="11">
                  <c:v>811909.59463859419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8F-4FE8-8718-8533CF235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5671215"/>
        <c:axId val="955671695"/>
      </c:barChart>
      <c:lineChart>
        <c:grouping val="standard"/>
        <c:varyColors val="0"/>
        <c:ser>
          <c:idx val="1"/>
          <c:order val="1"/>
          <c:tx>
            <c:strRef>
              <c:f>Visuals!$B$4</c:f>
              <c:strCache>
                <c:ptCount val="1"/>
                <c:pt idx="0">
                  <c:v>Profit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Visuals!$C$2:$N$2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Visuals!$C$4:$N$4</c:f>
              <c:numCache>
                <c:formatCode>0.0%</c:formatCode>
                <c:ptCount val="12"/>
                <c:pt idx="0">
                  <c:v>0.15673098996208418</c:v>
                </c:pt>
                <c:pt idx="1">
                  <c:v>0.15328785766244271</c:v>
                </c:pt>
                <c:pt idx="2">
                  <c:v>0.15507296366541193</c:v>
                </c:pt>
                <c:pt idx="3">
                  <c:v>0.15133180360776993</c:v>
                </c:pt>
                <c:pt idx="4">
                  <c:v>0.15327074016162096</c:v>
                </c:pt>
                <c:pt idx="5">
                  <c:v>0.23239304765643623</c:v>
                </c:pt>
                <c:pt idx="6">
                  <c:v>0.23282073577616727</c:v>
                </c:pt>
                <c:pt idx="7">
                  <c:v>0.23015516544237222</c:v>
                </c:pt>
                <c:pt idx="8">
                  <c:v>0.23137021909331579</c:v>
                </c:pt>
                <c:pt idx="9">
                  <c:v>0.22884335690052324</c:v>
                </c:pt>
                <c:pt idx="10">
                  <c:v>0.22989463687803918</c:v>
                </c:pt>
                <c:pt idx="11">
                  <c:v>0.2269218623126262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8F-4FE8-8718-8533CF235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7442463"/>
        <c:axId val="607441503"/>
      </c:lineChart>
      <c:dateAx>
        <c:axId val="95567121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671695"/>
        <c:crosses val="autoZero"/>
        <c:auto val="1"/>
        <c:lblOffset val="100"/>
        <c:baseTimeUnit val="months"/>
      </c:dateAx>
      <c:valAx>
        <c:axId val="95567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671215"/>
        <c:crosses val="autoZero"/>
        <c:crossBetween val="between"/>
      </c:valAx>
      <c:dateAx>
        <c:axId val="607442463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607441503"/>
        <c:crosses val="autoZero"/>
        <c:auto val="1"/>
        <c:lblOffset val="100"/>
        <c:baseTimeUnit val="months"/>
      </c:dateAx>
      <c:valAx>
        <c:axId val="607441503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442463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f1dfdae-b479-42e5-92cf-5cc8a41da80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2487126</xdr:colOff>
      <xdr:row>3</xdr:row>
      <xdr:rowOff>68813</xdr:rowOff>
    </xdr:from>
    <xdr:ext cx="2648507" cy="921414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59860" y="1440180"/>
          <a:ext cx="2648585" cy="92138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407670</xdr:colOff>
      <xdr:row>1</xdr:row>
      <xdr:rowOff>19050</xdr:rowOff>
    </xdr:from>
    <xdr:to>
      <xdr:col>14</xdr:col>
      <xdr:colOff>285750</xdr:colOff>
      <xdr:row>8</xdr:row>
      <xdr:rowOff>186690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4B1862-1BC7-0BEF-2C59-23BAD03AA2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110490</xdr:colOff>
      <xdr:row>9</xdr:row>
      <xdr:rowOff>57150</xdr:rowOff>
    </xdr:from>
    <xdr:to>
      <xdr:col>8</xdr:col>
      <xdr:colOff>552450</xdr:colOff>
      <xdr:row>23</xdr:row>
      <xdr:rowOff>26670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604E52-C71B-808A-97B1-F5A1CEE483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34290</xdr:colOff>
      <xdr:row>13</xdr:row>
      <xdr:rowOff>91440</xdr:rowOff>
    </xdr:from>
    <xdr:to>
      <xdr:col>13</xdr:col>
      <xdr:colOff>30480</xdr:colOff>
      <xdr:row>21</xdr:row>
      <xdr:rowOff>34290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2B57EA3-B56B-4F8C-CB99-7D7B33E342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19878</xdr:colOff>
      <xdr:row>4</xdr:row>
      <xdr:rowOff>106018</xdr:rowOff>
    </xdr:from>
    <xdr:to>
      <xdr:col>14</xdr:col>
      <xdr:colOff>13252</xdr:colOff>
      <xdr:row>17</xdr:row>
      <xdr:rowOff>13253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rudev" refreshedDate="46195.733198379632" createdVersion="8" refreshedVersion="8" minRefreshableVersion="3" recordCount="20" xr:uid="{92CFB99A-0F2E-4B5C-89D3-9BA167413663}">
  <cacheSource type="worksheet">
    <worksheetSource ref="A1:M21" sheet="Purchase Order(PO)"/>
  </cacheSource>
  <cacheFields count="13">
    <cacheField name="PO Number" numFmtId="0">
      <sharedItems/>
    </cacheField>
    <cacheField name="PO Date" numFmtId="0">
      <sharedItems/>
    </cacheField>
    <cacheField name="Department" numFmtId="0">
      <sharedItems count="5">
        <s v="Marketing"/>
        <s v="HR"/>
        <s v="Engineering"/>
        <s v="Support"/>
        <s v="Finance"/>
      </sharedItems>
    </cacheField>
    <cacheField name="Vendor" numFmtId="0">
      <sharedItems/>
    </cacheField>
    <cacheField name="Category" numFmtId="0">
      <sharedItems/>
    </cacheField>
    <cacheField name="Amount" numFmtId="0">
      <sharedItems containsSemiMixedTypes="0" containsString="0" containsNumber="1" containsInteger="1" minValue="21000" maxValue="96000"/>
    </cacheField>
    <cacheField name="Actual Spend" numFmtId="0">
      <sharedItems containsSemiMixedTypes="0" containsString="0" containsNumber="1" containsInteger="1" minValue="21000" maxValue="96000"/>
    </cacheField>
    <cacheField name="Status" numFmtId="0">
      <sharedItems count="1">
        <s v="Paid"/>
      </sharedItems>
    </cacheField>
    <cacheField name="Payment Date" numFmtId="0">
      <sharedItems/>
    </cacheField>
    <cacheField name="Budget" numFmtId="0">
      <sharedItems containsSemiMixedTypes="0" containsString="0" containsNumber="1" containsInteger="1" minValue="30000" maxValue="100000"/>
    </cacheField>
    <cacheField name="Variance" numFmtId="0">
      <sharedItems containsSemiMixedTypes="0" containsString="0" containsNumber="1" containsInteger="1" minValue="-1000" maxValue="22000"/>
    </cacheField>
    <cacheField name="Variance%" numFmtId="0">
      <sharedItems containsSemiMixedTypes="0" containsString="0" containsNumber="1" minValue="-0.02" maxValue="0.47499999999999998"/>
    </cacheField>
    <cacheField name="Budge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PO1001"/>
    <s v="2025-01-03"/>
    <x v="0"/>
    <s v="Google Ads"/>
    <s v="Advertising"/>
    <n v="45000"/>
    <n v="45000"/>
    <x v="0"/>
    <s v="2025-01-20"/>
    <n v="50000"/>
    <n v="5000"/>
    <n v="0.1"/>
    <s v="Within Budget"/>
  </r>
  <r>
    <s v="PO1002"/>
    <s v="2025-01-05"/>
    <x v="0"/>
    <s v="Meta Ads"/>
    <s v="Advertising"/>
    <n v="38000"/>
    <n v="38000"/>
    <x v="0"/>
    <s v="2025-01-22"/>
    <n v="50000"/>
    <n v="12000"/>
    <n v="0.24"/>
    <s v="Within Budget"/>
  </r>
  <r>
    <s v="PO1003"/>
    <s v="2025-01-06"/>
    <x v="1"/>
    <s v="ABC Recruiters"/>
    <s v="Recruitment"/>
    <n v="25000"/>
    <n v="25000"/>
    <x v="0"/>
    <s v="2025-01-25"/>
    <n v="30000"/>
    <n v="5000"/>
    <n v="0.16666666666666666"/>
    <s v="Within Budget"/>
  </r>
  <r>
    <s v="PO1004"/>
    <s v="2025-01-08"/>
    <x v="2"/>
    <s v="Dell"/>
    <s v="Hardware"/>
    <n v="85000"/>
    <n v="85000"/>
    <x v="0"/>
    <s v="2025-01-28"/>
    <n v="100000"/>
    <n v="15000"/>
    <n v="0.15"/>
    <s v="Within Budget"/>
  </r>
  <r>
    <s v="PO1005"/>
    <s v="2025-01-10"/>
    <x v="3"/>
    <s v="Freshdesk"/>
    <s v="Software"/>
    <n v="32000"/>
    <n v="32000"/>
    <x v="0"/>
    <s v="2025-01-30"/>
    <n v="40000"/>
    <n v="8000"/>
    <n v="0.2"/>
    <s v="Within Budget"/>
  </r>
  <r>
    <s v="PO1006"/>
    <s v="2025-02-03"/>
    <x v="0"/>
    <s v="Google Ads"/>
    <s v="Advertising"/>
    <n v="47000"/>
    <n v="47000"/>
    <x v="0"/>
    <s v="2025-02-18"/>
    <n v="50000"/>
    <n v="3000"/>
    <n v="0.06"/>
    <s v="Within Budget"/>
  </r>
  <r>
    <s v="PO1007"/>
    <s v="2025-02-05"/>
    <x v="1"/>
    <s v="LinkedIn"/>
    <s v="Recruitment"/>
    <n v="28000"/>
    <n v="28000"/>
    <x v="0"/>
    <s v="2025-02-20"/>
    <n v="30000"/>
    <n v="2000"/>
    <n v="6.6666666666666666E-2"/>
    <s v="Within Budget"/>
  </r>
  <r>
    <s v="PO1008"/>
    <s v="2025-02-06"/>
    <x v="2"/>
    <s v="AWS"/>
    <s v="Cloud Services"/>
    <n v="92000"/>
    <n v="92000"/>
    <x v="0"/>
    <s v="2025-02-22"/>
    <n v="100000"/>
    <n v="8000"/>
    <n v="0.08"/>
    <s v="Within Budget"/>
  </r>
  <r>
    <s v="PO1009"/>
    <s v="2025-02-09"/>
    <x v="4"/>
    <s v="KPMG"/>
    <s v="Consulting"/>
    <n v="55000"/>
    <n v="55000"/>
    <x v="0"/>
    <s v="2025-02-25"/>
    <n v="60000"/>
    <n v="5000"/>
    <n v="8.3333333333333329E-2"/>
    <s v="Within Budget"/>
  </r>
  <r>
    <s v="PO1010"/>
    <s v="2025-02-12"/>
    <x v="3"/>
    <s v="Zoho"/>
    <s v="Software"/>
    <n v="21000"/>
    <n v="21000"/>
    <x v="0"/>
    <s v="2025-02-28"/>
    <n v="40000"/>
    <n v="19000"/>
    <n v="0.47499999999999998"/>
    <s v="Within Budget"/>
  </r>
  <r>
    <s v="PO1011"/>
    <s v="2025-03-02"/>
    <x v="0"/>
    <s v="Meta Ads"/>
    <s v="Advertising"/>
    <n v="44000"/>
    <n v="44000"/>
    <x v="0"/>
    <s v="2025-03-19"/>
    <n v="50000"/>
    <n v="6000"/>
    <n v="0.12"/>
    <s v="Within Budget"/>
  </r>
  <r>
    <s v="PO1012"/>
    <s v="2025-03-04"/>
    <x v="2"/>
    <s v="Dell"/>
    <s v="Hardware"/>
    <n v="78000"/>
    <n v="78000"/>
    <x v="0"/>
    <s v="2025-03-21"/>
    <n v="100000"/>
    <n v="22000"/>
    <n v="0.22"/>
    <s v="Within Budget"/>
  </r>
  <r>
    <s v="PO1013"/>
    <s v="2025-03-05"/>
    <x v="1"/>
    <s v="ABC Recruiters"/>
    <s v="Recruitment"/>
    <n v="26000"/>
    <n v="26000"/>
    <x v="0"/>
    <s v="2025-03-23"/>
    <n v="30000"/>
    <n v="4000"/>
    <n v="0.13333333333333333"/>
    <s v="Within Budget"/>
  </r>
  <r>
    <s v="PO1014"/>
    <s v="2025-03-08"/>
    <x v="3"/>
    <s v="Freshdesk"/>
    <s v="Software"/>
    <n v="33000"/>
    <n v="33000"/>
    <x v="0"/>
    <s v="2025-03-26"/>
    <n v="40000"/>
    <n v="7000"/>
    <n v="0.17499999999999999"/>
    <s v="Within Budget"/>
  </r>
  <r>
    <s v="PO1015"/>
    <s v="2025-03-11"/>
    <x v="4"/>
    <s v="EY"/>
    <s v="Consulting"/>
    <n v="49000"/>
    <n v="49000"/>
    <x v="0"/>
    <s v="2025-03-29"/>
    <n v="60000"/>
    <n v="11000"/>
    <n v="0.18333333333333332"/>
    <s v="Within Budget"/>
  </r>
  <r>
    <s v="PO1016"/>
    <s v="2025-04-03"/>
    <x v="0"/>
    <s v="Google Ads"/>
    <s v="Advertising"/>
    <n v="51000"/>
    <n v="51000"/>
    <x v="0"/>
    <s v="2025-04-19"/>
    <n v="50000"/>
    <n v="-1000"/>
    <n v="-0.02"/>
    <s v="Over Budget"/>
  </r>
  <r>
    <s v="PO1017"/>
    <s v="2025-04-05"/>
    <x v="2"/>
    <s v="Azure"/>
    <s v="Cloud Services"/>
    <n v="96000"/>
    <n v="96000"/>
    <x v="0"/>
    <s v="2025-04-21"/>
    <n v="100000"/>
    <n v="4000"/>
    <n v="0.04"/>
    <s v="Within Budget"/>
  </r>
  <r>
    <s v="PO1018"/>
    <s v="2025-04-07"/>
    <x v="1"/>
    <s v="LinkedIn"/>
    <s v="Recruitment"/>
    <n v="29000"/>
    <n v="29000"/>
    <x v="0"/>
    <s v="2025-04-23"/>
    <n v="30000"/>
    <n v="1000"/>
    <n v="3.3333333333333333E-2"/>
    <s v="Within Budget"/>
  </r>
  <r>
    <s v="PO1019"/>
    <s v="2025-04-10"/>
    <x v="3"/>
    <s v="Zoho"/>
    <s v="Software"/>
    <n v="22000"/>
    <n v="22000"/>
    <x v="0"/>
    <s v="2025-04-25"/>
    <n v="40000"/>
    <n v="18000"/>
    <n v="0.45"/>
    <s v="Within Budget"/>
  </r>
  <r>
    <s v="PO1020"/>
    <s v="2025-04-12"/>
    <x v="4"/>
    <s v="KPMG"/>
    <s v="Consulting"/>
    <n v="61000"/>
    <n v="61000"/>
    <x v="0"/>
    <s v="2025-04-28"/>
    <n v="60000"/>
    <n v="-1000"/>
    <n v="-1.6666666666666666E-2"/>
    <s v="Over Budge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7E105E-023A-4E4A-84B5-AC8A9ABC1D69}" name="PivotTable7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J11:K13" firstHeaderRow="1" firstDataRow="1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7"/>
  </rowFields>
  <rowItems count="2">
    <i>
      <x/>
    </i>
    <i t="grand">
      <x/>
    </i>
  </rowItems>
  <colItems count="1">
    <i/>
  </colItems>
  <dataFields count="1">
    <dataField name="Count of PO Number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16FC85-F9DB-4208-8720-224B597F172E}" name="PivotTable6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11:C17" firstHeaderRow="0" firstDataRow="1" firstDataCol="1"/>
  <pivotFields count="13">
    <pivotField showAll="0"/>
    <pivotField showAll="0"/>
    <pivotField axis="axisRow" showAll="0">
      <items count="6">
        <item x="2"/>
        <item x="4"/>
        <item x="1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udget" fld="9" baseField="0" baseItem="0"/>
    <dataField name="Sum of Actual Spend" fld="6" baseField="0" baseItem="0"/>
  </dataFields>
  <chartFormats count="2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34AFCA-2705-4EC1-B0A0-9C458AF306FF}" name="PivotTable5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F2:G8" firstHeaderRow="1" firstDataRow="1" firstDataCol="1"/>
  <pivotFields count="13">
    <pivotField showAll="0"/>
    <pivotField showAll="0"/>
    <pivotField axis="axisRow" showAll="0">
      <items count="6">
        <item x="2"/>
        <item x="4"/>
        <item x="1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ctual Spend" fld="6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careerprinciples.com/courses/finance-valuation-course" TargetMode="External"/><Relationship Id="rId1" Type="http://schemas.openxmlformats.org/officeDocument/2006/relationships/hyperlink" Target="https://www.youtube.com/c/KenjiExplains/featured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18"/>
  <sheetViews>
    <sheetView showGridLines="0" zoomScale="130" zoomScaleNormal="130" workbookViewId="0"/>
  </sheetViews>
  <sheetFormatPr defaultColWidth="10.796875" defaultRowHeight="15.6"/>
  <cols>
    <col min="1" max="1" width="10.796875" style="35"/>
    <col min="2" max="2" width="8.5" style="35" customWidth="1"/>
    <col min="3" max="3" width="95.69921875" style="35" customWidth="1"/>
    <col min="4" max="4" width="9.5" style="35" customWidth="1"/>
    <col min="5" max="16384" width="10.796875" style="35"/>
  </cols>
  <sheetData>
    <row r="3" spans="2:4" ht="76.8">
      <c r="B3" s="36"/>
      <c r="C3" s="37" t="s">
        <v>0</v>
      </c>
      <c r="D3" s="38"/>
    </row>
    <row r="4" spans="2:4" ht="42" customHeight="1">
      <c r="B4" s="39"/>
      <c r="C4" s="40"/>
      <c r="D4" s="41"/>
    </row>
    <row r="5" spans="2:4" ht="31.95" customHeight="1">
      <c r="B5" s="39"/>
      <c r="C5" s="40"/>
      <c r="D5" s="41"/>
    </row>
    <row r="6" spans="2:4" ht="10.95" customHeight="1">
      <c r="B6" s="39"/>
      <c r="C6" s="42"/>
      <c r="D6" s="41"/>
    </row>
    <row r="7" spans="2:4" ht="21">
      <c r="B7" s="39"/>
      <c r="C7" s="43" t="s">
        <v>1</v>
      </c>
      <c r="D7" s="41"/>
    </row>
    <row r="8" spans="2:4" ht="10.95" customHeight="1">
      <c r="B8" s="39"/>
      <c r="C8" s="42"/>
      <c r="D8" s="41"/>
    </row>
    <row r="9" spans="2:4" s="34" customFormat="1" ht="25.8">
      <c r="B9" s="44"/>
      <c r="C9" s="45" t="s">
        <v>2</v>
      </c>
      <c r="D9" s="46"/>
    </row>
    <row r="10" spans="2:4">
      <c r="B10" s="39"/>
      <c r="C10" s="42"/>
      <c r="D10" s="41"/>
    </row>
    <row r="11" spans="2:4">
      <c r="B11" s="39"/>
      <c r="C11" s="47" t="s">
        <v>3</v>
      </c>
      <c r="D11" s="41"/>
    </row>
    <row r="12" spans="2:4" ht="6" customHeight="1">
      <c r="B12" s="39"/>
      <c r="C12" s="42"/>
      <c r="D12" s="41"/>
    </row>
    <row r="13" spans="2:4" ht="18">
      <c r="B13" s="39"/>
      <c r="C13" s="48" t="s">
        <v>4</v>
      </c>
      <c r="D13" s="41"/>
    </row>
    <row r="14" spans="2:4" ht="7.95" customHeight="1">
      <c r="B14" s="39"/>
      <c r="C14" s="42"/>
      <c r="D14" s="41"/>
    </row>
    <row r="15" spans="2:4">
      <c r="B15" s="39"/>
      <c r="C15" s="49" t="s">
        <v>5</v>
      </c>
      <c r="D15" s="41"/>
    </row>
    <row r="16" spans="2:4">
      <c r="B16" s="39"/>
      <c r="C16" s="42" t="s">
        <v>6</v>
      </c>
      <c r="D16" s="41"/>
    </row>
    <row r="17" spans="2:4" ht="31.2">
      <c r="B17" s="39"/>
      <c r="C17" s="50" t="s">
        <v>7</v>
      </c>
      <c r="D17" s="41"/>
    </row>
    <row r="18" spans="2:4">
      <c r="B18" s="51"/>
      <c r="C18" s="52"/>
      <c r="D18" s="53"/>
    </row>
  </sheetData>
  <sheetProtection algorithmName="SHA-512" hashValue="325mwa2yfRNXqzFbfvuNgSCn2fRviA3CCkoZaAwe/HQ2D8S+E3C1ZJ84y26CLD/HTFVuXyUY4tk+Zvr5NE5J5g==" saltValue="o9SV091KTbHuyiVDzVSs8w==" spinCount="100000" sheet="1" objects="1" scenarios="1"/>
  <hyperlinks>
    <hyperlink ref="C13" r:id="rId1" xr:uid="{00000000-0004-0000-0000-000000000000}"/>
    <hyperlink ref="C9" r:id="rId2" xr:uid="{00000000-0004-0000-0000-000001000000}"/>
    <hyperlink ref="C11" location="'Actual Expenses'!A1" display="Go to Sheet 1 -&gt; here" xr:uid="{00000000-0004-0000-0000-000002000000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13"/>
  <sheetViews>
    <sheetView zoomScale="115" zoomScaleNormal="115" workbookViewId="0">
      <selection activeCell="B5" sqref="B5:H13"/>
    </sheetView>
  </sheetViews>
  <sheetFormatPr defaultColWidth="8.796875" defaultRowHeight="15.6"/>
  <cols>
    <col min="1" max="1" width="2.69921875" customWidth="1"/>
    <col min="2" max="2" width="10.19921875" customWidth="1"/>
    <col min="3" max="3" width="11.19921875" customWidth="1"/>
    <col min="4" max="4" width="15.296875" customWidth="1"/>
  </cols>
  <sheetData>
    <row r="2" spans="2:8">
      <c r="B2" s="30" t="s">
        <v>8</v>
      </c>
      <c r="C2" s="31">
        <v>45536</v>
      </c>
    </row>
    <row r="4" spans="2:8">
      <c r="B4" s="22" t="s">
        <v>9</v>
      </c>
      <c r="C4" s="32"/>
      <c r="D4" s="32"/>
      <c r="E4" s="32"/>
      <c r="F4" s="32"/>
      <c r="G4" s="32"/>
      <c r="H4" s="32"/>
    </row>
    <row r="5" spans="2:8">
      <c r="B5" s="26" t="s">
        <v>10</v>
      </c>
      <c r="C5" s="26" t="s">
        <v>11</v>
      </c>
      <c r="D5" s="26" t="s">
        <v>12</v>
      </c>
      <c r="E5" s="2">
        <f>C2</f>
        <v>45536</v>
      </c>
      <c r="F5" s="2">
        <f>EDATE(E5,1)</f>
        <v>45566</v>
      </c>
      <c r="G5" s="2">
        <f>EDATE(F5,1)</f>
        <v>45597</v>
      </c>
      <c r="H5" s="2">
        <f>EDATE(G5,1)</f>
        <v>45627</v>
      </c>
    </row>
    <row r="6" spans="2:8">
      <c r="B6" s="27">
        <v>11256</v>
      </c>
      <c r="C6" s="28" t="s">
        <v>13</v>
      </c>
      <c r="D6" t="s">
        <v>14</v>
      </c>
      <c r="E6" s="33">
        <v>22992</v>
      </c>
      <c r="F6" s="33">
        <v>24001</v>
      </c>
      <c r="G6" s="33">
        <v>26558</v>
      </c>
      <c r="H6" s="33">
        <v>25446</v>
      </c>
    </row>
    <row r="7" spans="2:8">
      <c r="B7" s="27">
        <v>11257</v>
      </c>
      <c r="C7" s="28" t="s">
        <v>13</v>
      </c>
      <c r="D7" t="s">
        <v>15</v>
      </c>
      <c r="E7" s="33">
        <v>53326</v>
      </c>
      <c r="F7" s="33">
        <v>54223</v>
      </c>
      <c r="G7" s="33">
        <v>51000</v>
      </c>
      <c r="H7" s="33">
        <v>50000</v>
      </c>
    </row>
    <row r="8" spans="2:8">
      <c r="B8" s="27">
        <v>11259</v>
      </c>
      <c r="C8" s="28" t="s">
        <v>16</v>
      </c>
      <c r="D8" t="s">
        <v>17</v>
      </c>
      <c r="E8" s="33">
        <v>35888</v>
      </c>
      <c r="F8" s="33">
        <v>36880</v>
      </c>
      <c r="G8" s="33">
        <v>37995</v>
      </c>
      <c r="H8" s="33">
        <v>40000</v>
      </c>
    </row>
    <row r="9" spans="2:8">
      <c r="B9" s="27">
        <v>11260</v>
      </c>
      <c r="C9" s="28" t="s">
        <v>16</v>
      </c>
      <c r="D9" t="s">
        <v>18</v>
      </c>
      <c r="E9" s="33">
        <v>87942</v>
      </c>
      <c r="F9" s="33">
        <v>85224</v>
      </c>
      <c r="G9" s="33">
        <v>82469</v>
      </c>
      <c r="H9" s="33">
        <v>81005</v>
      </c>
    </row>
    <row r="10" spans="2:8">
      <c r="B10" s="27">
        <v>11263</v>
      </c>
      <c r="C10" s="28" t="s">
        <v>19</v>
      </c>
      <c r="D10" s="29" t="s">
        <v>20</v>
      </c>
      <c r="E10" s="33">
        <v>92622</v>
      </c>
      <c r="F10" s="33">
        <v>90005</v>
      </c>
      <c r="G10" s="33">
        <v>87556</v>
      </c>
      <c r="H10" s="33">
        <v>84522</v>
      </c>
    </row>
    <row r="11" spans="2:8">
      <c r="B11" s="27">
        <v>11264</v>
      </c>
      <c r="C11" s="28" t="s">
        <v>19</v>
      </c>
      <c r="D11" s="29" t="s">
        <v>21</v>
      </c>
      <c r="E11" s="33">
        <v>27416</v>
      </c>
      <c r="F11" s="33">
        <v>26554</v>
      </c>
      <c r="G11" s="33">
        <v>24330</v>
      </c>
      <c r="H11" s="33">
        <v>22338</v>
      </c>
    </row>
    <row r="12" spans="2:8">
      <c r="B12" s="27">
        <v>11267</v>
      </c>
      <c r="C12" s="28" t="s">
        <v>22</v>
      </c>
      <c r="D12" s="29" t="s">
        <v>23</v>
      </c>
      <c r="E12" s="33">
        <v>41696</v>
      </c>
      <c r="F12" s="33">
        <v>41696</v>
      </c>
      <c r="G12" s="33">
        <v>42558</v>
      </c>
      <c r="H12" s="33">
        <v>45448</v>
      </c>
    </row>
    <row r="13" spans="2:8">
      <c r="B13" s="27">
        <v>11268</v>
      </c>
      <c r="C13" s="28" t="s">
        <v>22</v>
      </c>
      <c r="D13" s="29" t="s">
        <v>24</v>
      </c>
      <c r="E13" s="33">
        <v>60285</v>
      </c>
      <c r="F13" s="33">
        <v>61225</v>
      </c>
      <c r="G13" s="33">
        <v>68994</v>
      </c>
      <c r="H13" s="33">
        <v>72410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T49"/>
  <sheetViews>
    <sheetView topLeftCell="B15" zoomScale="86" zoomScaleNormal="115" workbookViewId="0">
      <selection activeCell="G46" sqref="G46"/>
    </sheetView>
  </sheetViews>
  <sheetFormatPr defaultColWidth="11.19921875" defaultRowHeight="15.6"/>
  <cols>
    <col min="1" max="1" width="2.296875" customWidth="1"/>
    <col min="2" max="2" width="12.19921875" customWidth="1"/>
    <col min="5" max="5" width="11.69921875" customWidth="1"/>
    <col min="6" max="8" width="8.69921875" customWidth="1"/>
    <col min="9" max="9" width="9.5" customWidth="1"/>
    <col min="10" max="20" width="8.69921875" customWidth="1"/>
  </cols>
  <sheetData>
    <row r="2" spans="1:20">
      <c r="B2" s="22" t="s">
        <v>55</v>
      </c>
      <c r="C2" s="23"/>
      <c r="D2" s="23"/>
      <c r="E2" s="24" t="s">
        <v>25</v>
      </c>
      <c r="F2" s="24"/>
      <c r="G2" s="24"/>
      <c r="H2" s="24"/>
      <c r="I2" s="22" t="s">
        <v>26</v>
      </c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</row>
    <row r="3" spans="1:20">
      <c r="B3" s="26" t="str">
        <f>B15</f>
        <v>Account #</v>
      </c>
      <c r="C3" s="26" t="str">
        <f t="shared" ref="C3:H3" si="0">C15</f>
        <v>Department</v>
      </c>
      <c r="D3" s="26" t="str">
        <f t="shared" si="0"/>
        <v>Description</v>
      </c>
      <c r="E3" s="2">
        <f>E15</f>
        <v>45536</v>
      </c>
      <c r="F3" s="2">
        <f t="shared" ref="F3:H3" si="1">F15</f>
        <v>45566</v>
      </c>
      <c r="G3" s="2">
        <f t="shared" si="1"/>
        <v>45597</v>
      </c>
      <c r="H3" s="2">
        <f t="shared" si="1"/>
        <v>45627</v>
      </c>
      <c r="I3" s="2">
        <f t="shared" ref="F3:T3" si="2">I15</f>
        <v>45658</v>
      </c>
      <c r="J3" s="2">
        <f t="shared" si="2"/>
        <v>45689</v>
      </c>
      <c r="K3" s="2">
        <f t="shared" si="2"/>
        <v>45717</v>
      </c>
      <c r="L3" s="2">
        <f t="shared" si="2"/>
        <v>45748</v>
      </c>
      <c r="M3" s="2">
        <f t="shared" si="2"/>
        <v>45778</v>
      </c>
      <c r="N3" s="2">
        <f t="shared" si="2"/>
        <v>45809</v>
      </c>
      <c r="O3" s="2">
        <f t="shared" si="2"/>
        <v>45839</v>
      </c>
      <c r="P3" s="2">
        <f t="shared" si="2"/>
        <v>45870</v>
      </c>
      <c r="Q3" s="2">
        <f t="shared" si="2"/>
        <v>45901</v>
      </c>
      <c r="R3" s="2">
        <f t="shared" si="2"/>
        <v>45931</v>
      </c>
      <c r="S3" s="2">
        <f t="shared" si="2"/>
        <v>45962</v>
      </c>
      <c r="T3" s="2">
        <f t="shared" si="2"/>
        <v>45992</v>
      </c>
    </row>
    <row r="4" spans="1:20">
      <c r="B4" s="26">
        <f t="shared" ref="B4:H4" si="3">B16</f>
        <v>11256</v>
      </c>
      <c r="C4" s="26" t="str">
        <f t="shared" si="3"/>
        <v>Marketing</v>
      </c>
      <c r="D4" s="26" t="str">
        <f t="shared" si="3"/>
        <v>Paid Ads</v>
      </c>
      <c r="E4" s="26">
        <f t="shared" si="3"/>
        <v>22992</v>
      </c>
      <c r="F4" s="26">
        <f t="shared" si="3"/>
        <v>24001</v>
      </c>
      <c r="G4" s="26">
        <f t="shared" si="3"/>
        <v>26558</v>
      </c>
      <c r="H4" s="26">
        <f t="shared" si="3"/>
        <v>25446</v>
      </c>
      <c r="I4" s="11">
        <f>CHOOSE('Income Statement'!$C$2,Forecast!I27,Forecast!I16,Forecast!I38)</f>
        <v>34917.689482945338</v>
      </c>
      <c r="J4" s="11">
        <f>CHOOSE('Income Statement'!$C$2,Forecast!J27,Forecast!J16,Forecast!J38)</f>
        <v>34999.371639389101</v>
      </c>
      <c r="K4" s="11">
        <f>CHOOSE('Income Statement'!$C$2,Forecast!K27,Forecast!K16,Forecast!K38)</f>
        <v>37128.285881616714</v>
      </c>
      <c r="L4" s="11">
        <f>CHOOSE('Income Statement'!$C$2,Forecast!L27,Forecast!L16,Forecast!L38)</f>
        <v>37051.861512717493</v>
      </c>
      <c r="M4" s="11">
        <f>CHOOSE('Income Statement'!$C$2,Forecast!M27,Forecast!M16,Forecast!M38)</f>
        <v>39131.751112000558</v>
      </c>
      <c r="N4" s="11">
        <f>CHOOSE('Income Statement'!$C$2,Forecast!N27,Forecast!N16,Forecast!N38)</f>
        <v>39145.234959643334</v>
      </c>
      <c r="O4" s="11">
        <f>CHOOSE('Income Statement'!$C$2,Forecast!O27,Forecast!O16,Forecast!O38)</f>
        <v>41173.846309436871</v>
      </c>
      <c r="P4" s="11">
        <f>CHOOSE('Income Statement'!$C$2,Forecast!P27,Forecast!P16,Forecast!P38)</f>
        <v>41188.47055175525</v>
      </c>
      <c r="Q4" s="11">
        <f>CHOOSE('Income Statement'!$C$2,Forecast!Q27,Forecast!Q16,Forecast!Q38)</f>
        <v>43213.245401582913</v>
      </c>
      <c r="R4" s="11">
        <f>CHOOSE('Income Statement'!$C$2,Forecast!R27,Forecast!R16,Forecast!R38)</f>
        <v>43226.056905783211</v>
      </c>
      <c r="S4" s="11">
        <f>CHOOSE('Income Statement'!$C$2,Forecast!S27,Forecast!S16,Forecast!S38)</f>
        <v>45249.761118855102</v>
      </c>
      <c r="T4" s="11">
        <f>CHOOSE('Income Statement'!$C$2,Forecast!T27,Forecast!T16,Forecast!T38)</f>
        <v>45261.931623797616</v>
      </c>
    </row>
    <row r="5" spans="1:20">
      <c r="B5" s="26">
        <f t="shared" ref="B5:H5" si="4">B17</f>
        <v>11257</v>
      </c>
      <c r="C5" s="26" t="str">
        <f t="shared" si="4"/>
        <v>Marketing</v>
      </c>
      <c r="D5" s="26" t="str">
        <f t="shared" si="4"/>
        <v>Infuencers</v>
      </c>
      <c r="E5" s="26">
        <f t="shared" si="4"/>
        <v>53326</v>
      </c>
      <c r="F5" s="26">
        <f t="shared" si="4"/>
        <v>54223</v>
      </c>
      <c r="G5" s="26">
        <f t="shared" si="4"/>
        <v>51000</v>
      </c>
      <c r="H5" s="26">
        <f t="shared" si="4"/>
        <v>50000</v>
      </c>
      <c r="I5" s="11">
        <f>CHOOSE('Income Statement'!$C$2,Forecast!I28,Forecast!I17,Forecast!I39)</f>
        <v>34200.980545385173</v>
      </c>
      <c r="J5" s="11">
        <f>CHOOSE('Income Statement'!$C$2,Forecast!J28,Forecast!J17,Forecast!J39)</f>
        <v>33310.176480780006</v>
      </c>
      <c r="K5" s="11">
        <f>CHOOSE('Income Statement'!$C$2,Forecast!K28,Forecast!K17,Forecast!K39)</f>
        <v>32090.814518135339</v>
      </c>
      <c r="L5" s="11">
        <f>CHOOSE('Income Statement'!$C$2,Forecast!L28,Forecast!L17,Forecast!L39)</f>
        <v>31213.973673170192</v>
      </c>
      <c r="M5" s="11">
        <f>CHOOSE('Income Statement'!$C$2,Forecast!M28,Forecast!M17,Forecast!M39)</f>
        <v>30010.158161652198</v>
      </c>
      <c r="N5" s="11">
        <f>CHOOSE('Income Statement'!$C$2,Forecast!N28,Forecast!N17,Forecast!N39)</f>
        <v>29161.646182565881</v>
      </c>
      <c r="O5" s="11">
        <f>CHOOSE('Income Statement'!$C$2,Forecast!O28,Forecast!O17,Forecast!O39)</f>
        <v>27790.83885060023</v>
      </c>
      <c r="P5" s="11">
        <f>CHOOSE('Income Statement'!$C$2,Forecast!P28,Forecast!P17,Forecast!P39)</f>
        <v>26969.094121547165</v>
      </c>
      <c r="Q5" s="11">
        <f>CHOOSE('Income Statement'!$C$2,Forecast!Q28,Forecast!Q17,Forecast!Q39)</f>
        <v>25628.388464371685</v>
      </c>
      <c r="R5" s="11">
        <f>CHOOSE('Income Statement'!$C$2,Forecast!R28,Forecast!R17,Forecast!R39)</f>
        <v>24768.79403287782</v>
      </c>
      <c r="S5" s="11">
        <f>CHOOSE('Income Statement'!$C$2,Forecast!S28,Forecast!S17,Forecast!S39)</f>
        <v>23566.346543980169</v>
      </c>
      <c r="T5" s="11">
        <f>CHOOSE('Income Statement'!$C$2,Forecast!T28,Forecast!T17,Forecast!T39)</f>
        <v>22623.485988124976</v>
      </c>
    </row>
    <row r="6" spans="1:20">
      <c r="B6" s="26">
        <f t="shared" ref="B6:H6" si="5">B18</f>
        <v>11259</v>
      </c>
      <c r="C6" s="26" t="str">
        <f t="shared" si="5"/>
        <v>Engineering</v>
      </c>
      <c r="D6" s="26" t="str">
        <f t="shared" si="5"/>
        <v>Consulting</v>
      </c>
      <c r="E6" s="26">
        <f t="shared" si="5"/>
        <v>35888</v>
      </c>
      <c r="F6" s="26">
        <f t="shared" si="5"/>
        <v>36880</v>
      </c>
      <c r="G6" s="26">
        <f t="shared" si="5"/>
        <v>37995</v>
      </c>
      <c r="H6" s="26">
        <f t="shared" si="5"/>
        <v>40000</v>
      </c>
      <c r="I6" s="11">
        <f>CHOOSE('Income Statement'!$C$2,Forecast!I29,Forecast!I18,Forecast!I40)</f>
        <v>28828.77984095077</v>
      </c>
      <c r="J6" s="11">
        <f>CHOOSE('Income Statement'!$C$2,Forecast!J29,Forecast!J18,Forecast!J40)</f>
        <v>29829.570164476117</v>
      </c>
      <c r="K6" s="11">
        <f>CHOOSE('Income Statement'!$C$2,Forecast!K29,Forecast!K18,Forecast!K40)</f>
        <v>30825.317504704482</v>
      </c>
      <c r="L6" s="11">
        <f>CHOOSE('Income Statement'!$C$2,Forecast!L29,Forecast!L18,Forecast!L40)</f>
        <v>31789.738290075573</v>
      </c>
      <c r="M6" s="11">
        <f>CHOOSE('Income Statement'!$C$2,Forecast!M29,Forecast!M18,Forecast!M40)</f>
        <v>32770.197232069448</v>
      </c>
      <c r="N6" s="11">
        <f>CHOOSE('Income Statement'!$C$2,Forecast!N29,Forecast!N18,Forecast!N40)</f>
        <v>33750.717553995179</v>
      </c>
      <c r="O6" s="11">
        <f>CHOOSE('Income Statement'!$C$2,Forecast!O29,Forecast!O18,Forecast!O40)</f>
        <v>34731.303355507451</v>
      </c>
      <c r="P6" s="11">
        <f>CHOOSE('Income Statement'!$C$2,Forecast!P29,Forecast!P18,Forecast!P40)</f>
        <v>35711.936210127016</v>
      </c>
      <c r="Q6" s="11">
        <f>CHOOSE('Income Statement'!$C$2,Forecast!Q29,Forecast!Q18,Forecast!Q40)</f>
        <v>36692.596813977179</v>
      </c>
      <c r="R6" s="11">
        <f>CHOOSE('Income Statement'!$C$2,Forecast!R29,Forecast!R18,Forecast!R40)</f>
        <v>37673.269972245129</v>
      </c>
      <c r="S6" s="11">
        <f>CHOOSE('Income Statement'!$C$2,Forecast!S29,Forecast!S18,Forecast!S40)</f>
        <v>38653.944825962666</v>
      </c>
      <c r="T6" s="11">
        <f>CHOOSE('Income Statement'!$C$2,Forecast!T29,Forecast!T18,Forecast!T40)</f>
        <v>39634.6139658135</v>
      </c>
    </row>
    <row r="7" spans="1:20">
      <c r="B7" s="26">
        <f t="shared" ref="B7:H7" si="6">B19</f>
        <v>11260</v>
      </c>
      <c r="C7" s="26" t="str">
        <f t="shared" si="6"/>
        <v>Engineering</v>
      </c>
      <c r="D7" s="26" t="str">
        <f t="shared" si="6"/>
        <v>Travel</v>
      </c>
      <c r="E7" s="26">
        <f t="shared" si="6"/>
        <v>87942</v>
      </c>
      <c r="F7" s="26">
        <f t="shared" si="6"/>
        <v>85224</v>
      </c>
      <c r="G7" s="26">
        <f t="shared" si="6"/>
        <v>82469</v>
      </c>
      <c r="H7" s="26">
        <f t="shared" si="6"/>
        <v>81005</v>
      </c>
      <c r="I7" s="11">
        <f>CHOOSE('Income Statement'!$C$2,Forecast!I30,Forecast!I19,Forecast!I41)</f>
        <v>54899.524086309277</v>
      </c>
      <c r="J7" s="11">
        <f>CHOOSE('Income Statement'!$C$2,Forecast!J30,Forecast!J19,Forecast!J41)</f>
        <v>53324.630403736133</v>
      </c>
      <c r="K7" s="11">
        <f>CHOOSE('Income Statement'!$C$2,Forecast!K30,Forecast!K19,Forecast!K41)</f>
        <v>51738.725525692258</v>
      </c>
      <c r="L7" s="11">
        <f>CHOOSE('Income Statement'!$C$2,Forecast!L30,Forecast!L19,Forecast!L41)</f>
        <v>50128.337214179221</v>
      </c>
      <c r="M7" s="11">
        <f>CHOOSE('Income Statement'!$C$2,Forecast!M30,Forecast!M19,Forecast!M41)</f>
        <v>48532.325102439019</v>
      </c>
      <c r="N7" s="11">
        <f>CHOOSE('Income Statement'!$C$2,Forecast!N30,Forecast!N19,Forecast!N41)</f>
        <v>46935.402424132728</v>
      </c>
      <c r="O7" s="11">
        <f>CHOOSE('Income Statement'!$C$2,Forecast!O30,Forecast!O19,Forecast!O41)</f>
        <v>45337.880400851762</v>
      </c>
      <c r="P7" s="11">
        <f>CHOOSE('Income Statement'!$C$2,Forecast!P30,Forecast!P19,Forecast!P41)</f>
        <v>43736.510289264064</v>
      </c>
      <c r="Q7" s="11">
        <f>CHOOSE('Income Statement'!$C$2,Forecast!Q30,Forecast!Q19,Forecast!Q41)</f>
        <v>42137.664854175375</v>
      </c>
      <c r="R7" s="11">
        <f>CHOOSE('Income Statement'!$C$2,Forecast!R30,Forecast!R19,Forecast!R41)</f>
        <v>40538.874672754966</v>
      </c>
      <c r="S7" s="11">
        <f>CHOOSE('Income Statement'!$C$2,Forecast!S30,Forecast!S19,Forecast!S41)</f>
        <v>38940.115777701256</v>
      </c>
      <c r="T7" s="11">
        <f>CHOOSE('Income Statement'!$C$2,Forecast!T30,Forecast!T19,Forecast!T41)</f>
        <v>37341.371385152641</v>
      </c>
    </row>
    <row r="8" spans="1:20">
      <c r="B8" s="26">
        <f t="shared" ref="B8:H8" si="7">B20</f>
        <v>11263</v>
      </c>
      <c r="C8" s="26" t="str">
        <f t="shared" si="7"/>
        <v>Support</v>
      </c>
      <c r="D8" s="26" t="str">
        <f t="shared" si="7"/>
        <v>Software</v>
      </c>
      <c r="E8" s="26">
        <f t="shared" si="7"/>
        <v>92622</v>
      </c>
      <c r="F8" s="26">
        <f t="shared" si="7"/>
        <v>90005</v>
      </c>
      <c r="G8" s="26">
        <f t="shared" si="7"/>
        <v>87556</v>
      </c>
      <c r="H8" s="26">
        <f t="shared" si="7"/>
        <v>84522</v>
      </c>
      <c r="I8" s="11">
        <f>CHOOSE('Income Statement'!$C$2,Forecast!I31,Forecast!I20,Forecast!I42)</f>
        <v>57341.813562590374</v>
      </c>
      <c r="J8" s="11">
        <f>CHOOSE('Income Statement'!$C$2,Forecast!J31,Forecast!J20,Forecast!J42)</f>
        <v>55444.485458966454</v>
      </c>
      <c r="K8" s="11">
        <f>CHOOSE('Income Statement'!$C$2,Forecast!K31,Forecast!K20,Forecast!K42)</f>
        <v>53538.414930696134</v>
      </c>
      <c r="L8" s="11">
        <f>CHOOSE('Income Statement'!$C$2,Forecast!L31,Forecast!L20,Forecast!L42)</f>
        <v>51654.741549651335</v>
      </c>
      <c r="M8" s="11">
        <f>CHOOSE('Income Statement'!$C$2,Forecast!M31,Forecast!M20,Forecast!M42)</f>
        <v>49760.338279115051</v>
      </c>
      <c r="N8" s="11">
        <f>CHOOSE('Income Statement'!$C$2,Forecast!N31,Forecast!N20,Forecast!N42)</f>
        <v>47787.432473623994</v>
      </c>
      <c r="O8" s="11">
        <f>CHOOSE('Income Statement'!$C$2,Forecast!O31,Forecast!O20,Forecast!O42)</f>
        <v>45936.576201475269</v>
      </c>
      <c r="P8" s="11">
        <f>CHOOSE('Income Statement'!$C$2,Forecast!P31,Forecast!P20,Forecast!P42)</f>
        <v>44068.576570224628</v>
      </c>
      <c r="Q8" s="11">
        <f>CHOOSE('Income Statement'!$C$2,Forecast!Q31,Forecast!Q20,Forecast!Q42)</f>
        <v>42151.344565080486</v>
      </c>
      <c r="R8" s="11">
        <f>CHOOSE('Income Statement'!$C$2,Forecast!R31,Forecast!R20,Forecast!R42)</f>
        <v>40254.195099483688</v>
      </c>
      <c r="S8" s="11">
        <f>CHOOSE('Income Statement'!$C$2,Forecast!S31,Forecast!S20,Forecast!S42)</f>
        <v>38357.095573872546</v>
      </c>
      <c r="T8" s="11">
        <f>CHOOSE('Income Statement'!$C$2,Forecast!T31,Forecast!T20,Forecast!T42)</f>
        <v>36391.144743915756</v>
      </c>
    </row>
    <row r="9" spans="1:20">
      <c r="B9" s="26">
        <f t="shared" ref="B9:H9" si="8">B21</f>
        <v>11264</v>
      </c>
      <c r="C9" s="26" t="str">
        <f t="shared" si="8"/>
        <v>Support</v>
      </c>
      <c r="D9" s="26" t="str">
        <f t="shared" si="8"/>
        <v>Call Center</v>
      </c>
      <c r="E9" s="26">
        <f t="shared" si="8"/>
        <v>27416</v>
      </c>
      <c r="F9" s="26">
        <f t="shared" si="8"/>
        <v>26554</v>
      </c>
      <c r="G9" s="26">
        <f t="shared" si="8"/>
        <v>24330</v>
      </c>
      <c r="H9" s="26">
        <f t="shared" si="8"/>
        <v>22338</v>
      </c>
      <c r="I9" s="11">
        <f>CHOOSE('Income Statement'!$C$2,Forecast!I32,Forecast!I21,Forecast!I43)</f>
        <v>14549.273701251192</v>
      </c>
      <c r="J9" s="11">
        <f>CHOOSE('Income Statement'!$C$2,Forecast!J32,Forecast!J21,Forecast!J43)</f>
        <v>13276.457130534738</v>
      </c>
      <c r="K9" s="11">
        <f>CHOOSE('Income Statement'!$C$2,Forecast!K32,Forecast!K21,Forecast!K43)</f>
        <v>11997.135599311807</v>
      </c>
      <c r="L9" s="11">
        <f>CHOOSE('Income Statement'!$C$2,Forecast!L32,Forecast!L21,Forecast!L43)</f>
        <v>10778.931124305331</v>
      </c>
      <c r="M9" s="11">
        <f>CHOOSE('Income Statement'!$C$2,Forecast!M32,Forecast!M21,Forecast!M43)</f>
        <v>9537.5757378848175</v>
      </c>
      <c r="N9" s="11">
        <f>CHOOSE('Income Statement'!$C$2,Forecast!N32,Forecast!N21,Forecast!N43)</f>
        <v>8021.7835158805083</v>
      </c>
      <c r="O9" s="11">
        <f>CHOOSE('Income Statement'!$C$2,Forecast!O32,Forecast!O21,Forecast!O43)</f>
        <v>7164.9996728893593</v>
      </c>
      <c r="P9" s="11">
        <f>CHOOSE('Income Statement'!$C$2,Forecast!P32,Forecast!P21,Forecast!P43)</f>
        <v>5789.8934227000091</v>
      </c>
      <c r="Q9" s="11">
        <f>CHOOSE('Income Statement'!$C$2,Forecast!Q32,Forecast!Q21,Forecast!Q43)</f>
        <v>4275.8521341583282</v>
      </c>
      <c r="R9" s="11">
        <f>CHOOSE('Income Statement'!$C$2,Forecast!R32,Forecast!R21,Forecast!R43)</f>
        <v>3381.5315295558466</v>
      </c>
      <c r="S9" s="11">
        <f>CHOOSE('Income Statement'!$C$2,Forecast!S32,Forecast!S21,Forecast!S43)</f>
        <v>2020.9961431256661</v>
      </c>
      <c r="T9" s="11">
        <f>CHOOSE('Income Statement'!$C$2,Forecast!T32,Forecast!T21,Forecast!T43)</f>
        <v>578.13463288932496</v>
      </c>
    </row>
    <row r="10" spans="1:20">
      <c r="B10" s="26">
        <f t="shared" ref="B10:H10" si="9">B22</f>
        <v>11267</v>
      </c>
      <c r="C10" s="26" t="str">
        <f t="shared" si="9"/>
        <v>HR</v>
      </c>
      <c r="D10" s="26" t="str">
        <f t="shared" si="9"/>
        <v>Recruiting Events</v>
      </c>
      <c r="E10" s="26">
        <f t="shared" si="9"/>
        <v>41696</v>
      </c>
      <c r="F10" s="26">
        <f t="shared" si="9"/>
        <v>41696</v>
      </c>
      <c r="G10" s="26">
        <f t="shared" si="9"/>
        <v>42558</v>
      </c>
      <c r="H10" s="26">
        <f t="shared" si="9"/>
        <v>45448</v>
      </c>
      <c r="I10" s="11">
        <f>CHOOSE('Income Statement'!$C$2,Forecast!I33,Forecast!I22,Forecast!I44)</f>
        <v>32379.862872787697</v>
      </c>
      <c r="J10" s="11">
        <f>CHOOSE('Income Statement'!$C$2,Forecast!J33,Forecast!J22,Forecast!J44)</f>
        <v>33393.24659184787</v>
      </c>
      <c r="K10" s="11">
        <f>CHOOSE('Income Statement'!$C$2,Forecast!K33,Forecast!K22,Forecast!K44)</f>
        <v>34405.120024637334</v>
      </c>
      <c r="L10" s="11">
        <f>CHOOSE('Income Statement'!$C$2,Forecast!L33,Forecast!L22,Forecast!L44)</f>
        <v>35316.63006771393</v>
      </c>
      <c r="M10" s="11">
        <f>CHOOSE('Income Statement'!$C$2,Forecast!M33,Forecast!M22,Forecast!M44)</f>
        <v>36277.039902487682</v>
      </c>
      <c r="N10" s="11">
        <f>CHOOSE('Income Statement'!$C$2,Forecast!N33,Forecast!N22,Forecast!N44)</f>
        <v>37237.619600033184</v>
      </c>
      <c r="O10" s="11">
        <f>CHOOSE('Income Statement'!$C$2,Forecast!O33,Forecast!O22,Forecast!O44)</f>
        <v>38198.381949343799</v>
      </c>
      <c r="P10" s="11">
        <f>CHOOSE('Income Statement'!$C$2,Forecast!P33,Forecast!P22,Forecast!P44)</f>
        <v>39159.274248438553</v>
      </c>
      <c r="Q10" s="11">
        <f>CHOOSE('Income Statement'!$C$2,Forecast!Q33,Forecast!Q22,Forecast!Q44)</f>
        <v>40120.241124014603</v>
      </c>
      <c r="R10" s="11">
        <f>CHOOSE('Income Statement'!$C$2,Forecast!R33,Forecast!R22,Forecast!R44)</f>
        <v>41081.239020871813</v>
      </c>
      <c r="S10" s="11">
        <f>CHOOSE('Income Statement'!$C$2,Forecast!S33,Forecast!S22,Forecast!S44)</f>
        <v>42042.2368808182</v>
      </c>
      <c r="T10" s="11">
        <f>CHOOSE('Income Statement'!$C$2,Forecast!T33,Forecast!T22,Forecast!T44)</f>
        <v>43003.213588512532</v>
      </c>
    </row>
    <row r="11" spans="1:20">
      <c r="B11" s="26">
        <f t="shared" ref="B11:H11" si="10">B23</f>
        <v>11268</v>
      </c>
      <c r="C11" s="26" t="str">
        <f t="shared" si="10"/>
        <v>HR</v>
      </c>
      <c r="D11" s="26" t="str">
        <f t="shared" si="10"/>
        <v>Meetups</v>
      </c>
      <c r="E11" s="26">
        <f t="shared" si="10"/>
        <v>60285</v>
      </c>
      <c r="F11" s="26">
        <f t="shared" si="10"/>
        <v>61225</v>
      </c>
      <c r="G11" s="26">
        <f t="shared" si="10"/>
        <v>68994</v>
      </c>
      <c r="H11" s="26">
        <f t="shared" si="10"/>
        <v>72410</v>
      </c>
      <c r="I11" s="11">
        <f>CHOOSE('Income Statement'!$C$2,Forecast!I34,Forecast!I23,Forecast!I45)</f>
        <v>53693.924585540073</v>
      </c>
      <c r="J11" s="11">
        <f>CHOOSE('Income Statement'!$C$2,Forecast!J34,Forecast!J23,Forecast!J45)</f>
        <v>56511.928224733434</v>
      </c>
      <c r="K11" s="11">
        <f>CHOOSE('Income Statement'!$C$2,Forecast!K34,Forecast!K23,Forecast!K45)</f>
        <v>60962.76045329286</v>
      </c>
      <c r="L11" s="11">
        <f>CHOOSE('Income Statement'!$C$2,Forecast!L34,Forecast!L23,Forecast!L45)</f>
        <v>63613.011277057878</v>
      </c>
      <c r="M11" s="11">
        <f>CHOOSE('Income Statement'!$C$2,Forecast!M34,Forecast!M23,Forecast!M45)</f>
        <v>67863.643701044479</v>
      </c>
      <c r="N11" s="11">
        <f>CHOOSE('Income Statement'!$C$2,Forecast!N34,Forecast!N23,Forecast!N45)</f>
        <v>70560.152116717087</v>
      </c>
      <c r="O11" s="11">
        <f>CHOOSE('Income Statement'!$C$2,Forecast!O34,Forecast!O23,Forecast!O45)</f>
        <v>74806.187095914036</v>
      </c>
      <c r="P11" s="11">
        <f>CHOOSE('Income Statement'!$C$2,Forecast!P34,Forecast!P23,Forecast!P45)</f>
        <v>77725.223467028132</v>
      </c>
      <c r="Q11" s="11">
        <f>CHOOSE('Income Statement'!$C$2,Forecast!Q34,Forecast!Q23,Forecast!Q45)</f>
        <v>81950.756454261034</v>
      </c>
      <c r="R11" s="11">
        <f>CHOOSE('Income Statement'!$C$2,Forecast!R34,Forecast!R23,Forecast!R45)</f>
        <v>84096.949373811105</v>
      </c>
      <c r="S11" s="11">
        <f>CHOOSE('Income Statement'!$C$2,Forecast!S34,Forecast!S23,Forecast!S45)</f>
        <v>88841.643862531098</v>
      </c>
      <c r="T11" s="11">
        <f>CHOOSE('Income Statement'!$C$2,Forecast!T34,Forecast!T23,Forecast!T45)</f>
        <v>91760.115365847887</v>
      </c>
    </row>
    <row r="14" spans="1:20">
      <c r="B14" s="22" t="s">
        <v>53</v>
      </c>
      <c r="C14" s="23"/>
      <c r="D14" s="23"/>
      <c r="E14" s="24" t="s">
        <v>25</v>
      </c>
      <c r="F14" s="24"/>
      <c r="G14" s="24"/>
      <c r="H14" s="24"/>
      <c r="I14" s="22" t="s">
        <v>26</v>
      </c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</row>
    <row r="15" spans="1:20">
      <c r="A15" t="s">
        <v>27</v>
      </c>
      <c r="B15" s="26" t="str">
        <f>'Actual Expenses'!B5</f>
        <v>Account #</v>
      </c>
      <c r="C15" s="26" t="str">
        <f>'Actual Expenses'!C5</f>
        <v>Department</v>
      </c>
      <c r="D15" s="26" t="str">
        <f>'Actual Expenses'!D5</f>
        <v>Description</v>
      </c>
      <c r="E15" s="2">
        <f>'Actual Expenses'!E5</f>
        <v>45536</v>
      </c>
      <c r="F15" s="2">
        <f>'Actual Expenses'!F5</f>
        <v>45566</v>
      </c>
      <c r="G15" s="2">
        <f>'Actual Expenses'!G5</f>
        <v>45597</v>
      </c>
      <c r="H15" s="2">
        <f>'Actual Expenses'!H5</f>
        <v>45627</v>
      </c>
      <c r="I15" s="2">
        <f>EDATE(H15,1)</f>
        <v>45658</v>
      </c>
      <c r="J15" s="2">
        <f t="shared" ref="J15:T15" si="11">EDATE(I15,1)</f>
        <v>45689</v>
      </c>
      <c r="K15" s="2">
        <f t="shared" si="11"/>
        <v>45717</v>
      </c>
      <c r="L15" s="2">
        <f t="shared" si="11"/>
        <v>45748</v>
      </c>
      <c r="M15" s="2">
        <f t="shared" si="11"/>
        <v>45778</v>
      </c>
      <c r="N15" s="2">
        <f t="shared" si="11"/>
        <v>45809</v>
      </c>
      <c r="O15" s="2">
        <f t="shared" si="11"/>
        <v>45839</v>
      </c>
      <c r="P15" s="2">
        <f t="shared" si="11"/>
        <v>45870</v>
      </c>
      <c r="Q15" s="2">
        <f t="shared" si="11"/>
        <v>45901</v>
      </c>
      <c r="R15" s="2">
        <f t="shared" si="11"/>
        <v>45931</v>
      </c>
      <c r="S15" s="2">
        <f t="shared" si="11"/>
        <v>45962</v>
      </c>
      <c r="T15" s="2">
        <f t="shared" si="11"/>
        <v>45992</v>
      </c>
    </row>
    <row r="16" spans="1:20">
      <c r="B16" s="27">
        <f>'Actual Expenses'!B6</f>
        <v>11256</v>
      </c>
      <c r="C16" s="28" t="str">
        <f>'Actual Expenses'!C6</f>
        <v>Marketing</v>
      </c>
      <c r="D16" t="str">
        <f>'Actual Expenses'!D6</f>
        <v>Paid Ads</v>
      </c>
      <c r="E16" s="11">
        <f>'Actual Expenses'!E6</f>
        <v>22992</v>
      </c>
      <c r="F16" s="11">
        <f>'Actual Expenses'!F6</f>
        <v>24001</v>
      </c>
      <c r="G16" s="11">
        <f>'Actual Expenses'!G6</f>
        <v>26558</v>
      </c>
      <c r="H16" s="11">
        <f>'Actual Expenses'!H6</f>
        <v>25446</v>
      </c>
      <c r="I16" s="11">
        <f>_xlfn.FORECAST.ETS(I$15,$E16:H16,$E$15:H$15)</f>
        <v>26859.76114072718</v>
      </c>
      <c r="J16" s="11">
        <f>_xlfn.FORECAST.ETS(J$15,$E16:I16,$E$15:I$15)</f>
        <v>26922.593568760843</v>
      </c>
      <c r="K16" s="11">
        <f>_xlfn.FORECAST.ETS(K$15,$E16:J16,$E$15:J$15)</f>
        <v>28560.219908935931</v>
      </c>
      <c r="L16" s="11">
        <f>_xlfn.FORECAST.ETS(L$15,$E16:K16,$E$15:K$15)</f>
        <v>28501.43193285961</v>
      </c>
      <c r="M16" s="11">
        <f>_xlfn.FORECAST.ETS(M$15,$E16:L16,$E$15:L$15)</f>
        <v>30101.347009231198</v>
      </c>
      <c r="N16" s="11">
        <f>_xlfn.FORECAST.ETS(N$15,$E16:M16,$E$15:M$15)</f>
        <v>30111.719199725641</v>
      </c>
      <c r="O16" s="11">
        <f>_xlfn.FORECAST.ETS(O$15,$E16:N16,$E$15:N$15)</f>
        <v>31672.189468797595</v>
      </c>
      <c r="P16" s="11">
        <f>_xlfn.FORECAST.ETS(P$15,$E16:O16,$E$15:O$15)</f>
        <v>31683.438885965574</v>
      </c>
      <c r="Q16" s="11">
        <f>_xlfn.FORECAST.ETS(Q$15,$E16:P16,$E$15:P$15)</f>
        <v>33240.958001217623</v>
      </c>
      <c r="R16" s="11">
        <f>_xlfn.FORECAST.ETS(R$15,$E16:Q16,$E$15:Q$15)</f>
        <v>33250.813004448624</v>
      </c>
      <c r="S16" s="11">
        <f>_xlfn.FORECAST.ETS(S$15,$E16:R16,$E$15:R$15)</f>
        <v>34807.508552965461</v>
      </c>
      <c r="T16" s="11">
        <f>_xlfn.FORECAST.ETS(T$15,$E16:S16,$E$15:S$15)</f>
        <v>34816.870479844321</v>
      </c>
    </row>
    <row r="17" spans="1:20">
      <c r="B17" s="27">
        <f>'Actual Expenses'!B7</f>
        <v>11257</v>
      </c>
      <c r="C17" s="28" t="str">
        <f>'Actual Expenses'!C7</f>
        <v>Marketing</v>
      </c>
      <c r="D17" t="str">
        <f>'Actual Expenses'!D7</f>
        <v>Infuencers</v>
      </c>
      <c r="E17" s="11">
        <f>'Actual Expenses'!E7</f>
        <v>53326</v>
      </c>
      <c r="F17" s="11">
        <f>'Actual Expenses'!F7</f>
        <v>54223</v>
      </c>
      <c r="G17" s="11">
        <f>'Actual Expenses'!G7</f>
        <v>51000</v>
      </c>
      <c r="H17" s="11">
        <f>'Actual Expenses'!H7</f>
        <v>50000</v>
      </c>
      <c r="I17" s="11">
        <f>_xlfn.FORECAST.ETS(I$15,$E17:H17,$E$15:H$15)</f>
        <v>48858.543636264534</v>
      </c>
      <c r="J17" s="11">
        <f>_xlfn.FORECAST.ETS(J$15,$E17:I17,$E$15:I$15)</f>
        <v>47585.966401114296</v>
      </c>
      <c r="K17" s="11">
        <f>_xlfn.FORECAST.ETS(K$15,$E17:J17,$E$15:J$15)</f>
        <v>45844.020740193344</v>
      </c>
      <c r="L17" s="11">
        <f>_xlfn.FORECAST.ETS(L$15,$E17:K17,$E$15:K$15)</f>
        <v>44591.390961671706</v>
      </c>
      <c r="M17" s="11">
        <f>_xlfn.FORECAST.ETS(M$15,$E17:L17,$E$15:L$15)</f>
        <v>42871.654516645998</v>
      </c>
      <c r="N17" s="11">
        <f>_xlfn.FORECAST.ETS(N$15,$E17:M17,$E$15:M$15)</f>
        <v>41659.494546522692</v>
      </c>
      <c r="O17" s="11">
        <f>_xlfn.FORECAST.ETS(O$15,$E17:N17,$E$15:N$15)</f>
        <v>39701.198358000329</v>
      </c>
      <c r="P17" s="11">
        <f>_xlfn.FORECAST.ETS(P$15,$E17:O17,$E$15:O$15)</f>
        <v>38527.277316495951</v>
      </c>
      <c r="Q17" s="11">
        <f>_xlfn.FORECAST.ETS(Q$15,$E17:P17,$E$15:P$15)</f>
        <v>36611.983520530979</v>
      </c>
      <c r="R17" s="11">
        <f>_xlfn.FORECAST.ETS(R$15,$E17:Q17,$E$15:Q$15)</f>
        <v>35383.991475539748</v>
      </c>
      <c r="S17" s="11">
        <f>_xlfn.FORECAST.ETS(S$15,$E17:R17,$E$15:R$15)</f>
        <v>33666.209348543103</v>
      </c>
      <c r="T17" s="11">
        <f>_xlfn.FORECAST.ETS(T$15,$E17:S17,$E$15:S$15)</f>
        <v>32319.265697321396</v>
      </c>
    </row>
    <row r="18" spans="1:20">
      <c r="B18" s="27">
        <f>'Actual Expenses'!B8</f>
        <v>11259</v>
      </c>
      <c r="C18" s="28" t="str">
        <f>'Actual Expenses'!C8</f>
        <v>Engineering</v>
      </c>
      <c r="D18" t="str">
        <f>'Actual Expenses'!D8</f>
        <v>Consulting</v>
      </c>
      <c r="E18" s="11">
        <f>'Actual Expenses'!E8</f>
        <v>35888</v>
      </c>
      <c r="F18" s="11">
        <f>'Actual Expenses'!F8</f>
        <v>36880</v>
      </c>
      <c r="G18" s="11">
        <f>'Actual Expenses'!G8</f>
        <v>37995</v>
      </c>
      <c r="H18" s="11">
        <f>'Actual Expenses'!H8</f>
        <v>40000</v>
      </c>
      <c r="I18" s="11">
        <f>_xlfn.FORECAST.ETS(I$15,$E18:H18,$E$15:H$15)</f>
        <v>41183.971201358247</v>
      </c>
      <c r="J18" s="11">
        <f>_xlfn.FORECAST.ETS(J$15,$E18:I18,$E$15:I$15)</f>
        <v>42613.671663537316</v>
      </c>
      <c r="K18" s="11">
        <f>_xlfn.FORECAST.ETS(K$15,$E18:J18,$E$15:J$15)</f>
        <v>44036.167863863549</v>
      </c>
      <c r="L18" s="11">
        <f>_xlfn.FORECAST.ETS(L$15,$E18:K18,$E$15:K$15)</f>
        <v>45413.911842965106</v>
      </c>
      <c r="M18" s="11">
        <f>_xlfn.FORECAST.ETS(M$15,$E18:L18,$E$15:L$15)</f>
        <v>46814.567474384923</v>
      </c>
      <c r="N18" s="11">
        <f>_xlfn.FORECAST.ETS(N$15,$E18:M18,$E$15:M$15)</f>
        <v>48215.310791421689</v>
      </c>
      <c r="O18" s="11">
        <f>_xlfn.FORECAST.ETS(O$15,$E18:N18,$E$15:N$15)</f>
        <v>49616.147650724932</v>
      </c>
      <c r="P18" s="11">
        <f>_xlfn.FORECAST.ETS(P$15,$E18:O18,$E$15:O$15)</f>
        <v>51017.051728752886</v>
      </c>
      <c r="Q18" s="11">
        <f>_xlfn.FORECAST.ETS(Q$15,$E18:P18,$E$15:P$15)</f>
        <v>52417.99544853883</v>
      </c>
      <c r="R18" s="11">
        <f>_xlfn.FORECAST.ETS(R$15,$E18:Q18,$E$15:Q$15)</f>
        <v>53818.957103207329</v>
      </c>
      <c r="S18" s="11">
        <f>_xlfn.FORECAST.ETS(S$15,$E18:R18,$E$15:R$15)</f>
        <v>55219.921179946665</v>
      </c>
      <c r="T18" s="11">
        <f>_xlfn.FORECAST.ETS(T$15,$E18:S18,$E$15:S$15)</f>
        <v>56620.877094019284</v>
      </c>
    </row>
    <row r="19" spans="1:20">
      <c r="B19" s="27">
        <f>'Actual Expenses'!B9</f>
        <v>11260</v>
      </c>
      <c r="C19" s="28" t="str">
        <f>'Actual Expenses'!C9</f>
        <v>Engineering</v>
      </c>
      <c r="D19" t="str">
        <f>'Actual Expenses'!D9</f>
        <v>Travel</v>
      </c>
      <c r="E19" s="11">
        <f>'Actual Expenses'!E9</f>
        <v>87942</v>
      </c>
      <c r="F19" s="11">
        <f>'Actual Expenses'!F9</f>
        <v>85224</v>
      </c>
      <c r="G19" s="11">
        <f>'Actual Expenses'!G9</f>
        <v>82469</v>
      </c>
      <c r="H19" s="11">
        <f>'Actual Expenses'!H9</f>
        <v>81005</v>
      </c>
      <c r="I19" s="11">
        <f>_xlfn.FORECAST.ETS(I$15,$E19:H19,$E$15:H$15)</f>
        <v>78427.891551870402</v>
      </c>
      <c r="J19" s="11">
        <f>_xlfn.FORECAST.ETS(J$15,$E19:I19,$E$15:I$15)</f>
        <v>76178.043433908766</v>
      </c>
      <c r="K19" s="11">
        <f>_xlfn.FORECAST.ETS(K$15,$E19:J19,$E$15:J$15)</f>
        <v>73912.46503670323</v>
      </c>
      <c r="L19" s="11">
        <f>_xlfn.FORECAST.ETS(L$15,$E19:K19,$E$15:K$15)</f>
        <v>71611.910305970319</v>
      </c>
      <c r="M19" s="11">
        <f>_xlfn.FORECAST.ETS(M$15,$E19:L19,$E$15:L$15)</f>
        <v>69331.893003484322</v>
      </c>
      <c r="N19" s="11">
        <f>_xlfn.FORECAST.ETS(N$15,$E19:M19,$E$15:M$15)</f>
        <v>67050.574891618191</v>
      </c>
      <c r="O19" s="11">
        <f>_xlfn.FORECAST.ETS(O$15,$E19:N19,$E$15:N$15)</f>
        <v>64768.400572645376</v>
      </c>
      <c r="P19" s="11">
        <f>_xlfn.FORECAST.ETS(P$15,$E19:O19,$E$15:O$15)</f>
        <v>62480.728984662957</v>
      </c>
      <c r="Q19" s="11">
        <f>_xlfn.FORECAST.ETS(Q$15,$E19:P19,$E$15:P$15)</f>
        <v>60196.664077393398</v>
      </c>
      <c r="R19" s="11">
        <f>_xlfn.FORECAST.ETS(R$15,$E19:Q19,$E$15:Q$15)</f>
        <v>57912.678103935665</v>
      </c>
      <c r="S19" s="11">
        <f>_xlfn.FORECAST.ETS(S$15,$E19:R19,$E$15:R$15)</f>
        <v>55628.736825287509</v>
      </c>
      <c r="T19" s="11">
        <f>_xlfn.FORECAST.ETS(T$15,$E19:S19,$E$15:S$15)</f>
        <v>53344.816264503774</v>
      </c>
    </row>
    <row r="20" spans="1:20">
      <c r="B20" s="27">
        <f>'Actual Expenses'!B10</f>
        <v>11263</v>
      </c>
      <c r="C20" s="28" t="str">
        <f>'Actual Expenses'!C10</f>
        <v>Support</v>
      </c>
      <c r="D20" s="29" t="str">
        <f>'Actual Expenses'!D10</f>
        <v>Software</v>
      </c>
      <c r="E20" s="11">
        <f>'Actual Expenses'!E10</f>
        <v>92622</v>
      </c>
      <c r="F20" s="11">
        <f>'Actual Expenses'!F10</f>
        <v>90005</v>
      </c>
      <c r="G20" s="11">
        <f>'Actual Expenses'!G10</f>
        <v>87556</v>
      </c>
      <c r="H20" s="11">
        <f>'Actual Expenses'!H10</f>
        <v>84522</v>
      </c>
      <c r="I20" s="11">
        <f>_xlfn.FORECAST.ETS(I$15,$E20:H20,$E$15:H$15)</f>
        <v>81916.876517986253</v>
      </c>
      <c r="J20" s="11">
        <f>_xlfn.FORECAST.ETS(J$15,$E20:I20,$E$15:I$15)</f>
        <v>79206.407798523505</v>
      </c>
      <c r="K20" s="11">
        <f>_xlfn.FORECAST.ETS(K$15,$E20:J20,$E$15:J$15)</f>
        <v>76483.449900994485</v>
      </c>
      <c r="L20" s="11">
        <f>_xlfn.FORECAST.ETS(L$15,$E20:K20,$E$15:K$15)</f>
        <v>73792.487928073344</v>
      </c>
      <c r="M20" s="11">
        <f>_xlfn.FORECAST.ETS(M$15,$E20:L20,$E$15:L$15)</f>
        <v>71086.197541592934</v>
      </c>
      <c r="N20" s="11">
        <f>_xlfn.FORECAST.ETS(N$15,$E20:M20,$E$15:M$15)</f>
        <v>68267.760676605714</v>
      </c>
      <c r="O20" s="11">
        <f>_xlfn.FORECAST.ETS(O$15,$E20:N20,$E$15:N$15)</f>
        <v>65623.680287821815</v>
      </c>
      <c r="P20" s="11">
        <f>_xlfn.FORECAST.ETS(P$15,$E20:O20,$E$15:O$15)</f>
        <v>62955.10938603519</v>
      </c>
      <c r="Q20" s="11">
        <f>_xlfn.FORECAST.ETS(Q$15,$E20:P20,$E$15:P$15)</f>
        <v>60216.206521543558</v>
      </c>
      <c r="R20" s="11">
        <f>_xlfn.FORECAST.ETS(R$15,$E20:Q20,$E$15:Q$15)</f>
        <v>57505.992999262417</v>
      </c>
      <c r="S20" s="11">
        <f>_xlfn.FORECAST.ETS(S$15,$E20:R20,$E$15:R$15)</f>
        <v>54795.850819817926</v>
      </c>
      <c r="T20" s="11">
        <f>_xlfn.FORECAST.ETS(T$15,$E20:S20,$E$15:S$15)</f>
        <v>51987.349634165374</v>
      </c>
    </row>
    <row r="21" spans="1:20">
      <c r="B21" s="27">
        <f>'Actual Expenses'!B11</f>
        <v>11264</v>
      </c>
      <c r="C21" s="28" t="str">
        <f>'Actual Expenses'!C11</f>
        <v>Support</v>
      </c>
      <c r="D21" s="29" t="str">
        <f>'Actual Expenses'!D11</f>
        <v>Call Center</v>
      </c>
      <c r="E21" s="11">
        <f>'Actual Expenses'!E11</f>
        <v>27416</v>
      </c>
      <c r="F21" s="11">
        <f>'Actual Expenses'!F11</f>
        <v>26554</v>
      </c>
      <c r="G21" s="11">
        <f>'Actual Expenses'!G11</f>
        <v>24330</v>
      </c>
      <c r="H21" s="11">
        <f>'Actual Expenses'!H11</f>
        <v>22338</v>
      </c>
      <c r="I21" s="11">
        <f>_xlfn.FORECAST.ETS(I$15,$E21:H21,$E$15:H$15)</f>
        <v>20784.676716073132</v>
      </c>
      <c r="J21" s="11">
        <f>_xlfn.FORECAST.ETS(J$15,$E21:I21,$E$15:I$15)</f>
        <v>18966.367329335342</v>
      </c>
      <c r="K21" s="11">
        <f>_xlfn.FORECAST.ETS(K$15,$E21:J21,$E$15:J$15)</f>
        <v>17138.76514187401</v>
      </c>
      <c r="L21" s="11">
        <f>_xlfn.FORECAST.ETS(L$15,$E21:K21,$E$15:K$15)</f>
        <v>15398.473034721901</v>
      </c>
      <c r="M21" s="11">
        <f>_xlfn.FORECAST.ETS(M$15,$E21:L21,$E$15:L$15)</f>
        <v>13625.108196978312</v>
      </c>
      <c r="N21" s="11">
        <f>_xlfn.FORECAST.ETS(N$15,$E21:M21,$E$15:M$15)</f>
        <v>11459.690736972156</v>
      </c>
      <c r="O21" s="11">
        <f>_xlfn.FORECAST.ETS(O$15,$E21:N21,$E$15:N$15)</f>
        <v>10235.713818413371</v>
      </c>
      <c r="P21" s="11">
        <f>_xlfn.FORECAST.ETS(P$15,$E21:O21,$E$15:O$15)</f>
        <v>8271.2763181428709</v>
      </c>
      <c r="Q21" s="11">
        <f>_xlfn.FORECAST.ETS(Q$15,$E21:P21,$E$15:P$15)</f>
        <v>6108.360191654755</v>
      </c>
      <c r="R21" s="11">
        <f>_xlfn.FORECAST.ETS(R$15,$E21:Q21,$E$15:Q$15)</f>
        <v>4830.7593279369239</v>
      </c>
      <c r="S21" s="11">
        <f>_xlfn.FORECAST.ETS(S$15,$E21:R21,$E$15:R$15)</f>
        <v>2887.1373473223803</v>
      </c>
      <c r="T21" s="11">
        <f>_xlfn.FORECAST.ETS(T$15,$E21:S21,$E$15:S$15)</f>
        <v>825.90661841332144</v>
      </c>
    </row>
    <row r="22" spans="1:20">
      <c r="B22" s="27">
        <f>'Actual Expenses'!B12</f>
        <v>11267</v>
      </c>
      <c r="C22" s="28" t="str">
        <f>'Actual Expenses'!C12</f>
        <v>HR</v>
      </c>
      <c r="D22" s="29" t="str">
        <f>'Actual Expenses'!D12</f>
        <v>Recruiting Events</v>
      </c>
      <c r="E22" s="11">
        <f>'Actual Expenses'!E12</f>
        <v>41696</v>
      </c>
      <c r="F22" s="11">
        <f>'Actual Expenses'!F12</f>
        <v>41696</v>
      </c>
      <c r="G22" s="11">
        <f>'Actual Expenses'!G12</f>
        <v>42558</v>
      </c>
      <c r="H22" s="11">
        <f>'Actual Expenses'!H12</f>
        <v>45448</v>
      </c>
      <c r="I22" s="11">
        <f>_xlfn.FORECAST.ETS(I$15,$E22:H22,$E$15:H$15)</f>
        <v>46256.946961125286</v>
      </c>
      <c r="J22" s="11">
        <f>_xlfn.FORECAST.ETS(J$15,$E22:I22,$E$15:I$15)</f>
        <v>47704.637988354101</v>
      </c>
      <c r="K22" s="11">
        <f>_xlfn.FORECAST.ETS(K$15,$E22:J22,$E$15:J$15)</f>
        <v>49150.17146376762</v>
      </c>
      <c r="L22" s="11">
        <f>_xlfn.FORECAST.ETS(L$15,$E22:K22,$E$15:K$15)</f>
        <v>50452.328668162765</v>
      </c>
      <c r="M22" s="11">
        <f>_xlfn.FORECAST.ETS(M$15,$E22:L22,$E$15:L$15)</f>
        <v>51824.34271783955</v>
      </c>
      <c r="N22" s="11">
        <f>_xlfn.FORECAST.ETS(N$15,$E22:M22,$E$15:M$15)</f>
        <v>53196.599428618836</v>
      </c>
      <c r="O22" s="11">
        <f>_xlfn.FORECAST.ETS(O$15,$E22:N22,$E$15:N$15)</f>
        <v>54569.117070491142</v>
      </c>
      <c r="P22" s="11">
        <f>_xlfn.FORECAST.ETS(P$15,$E22:O22,$E$15:O$15)</f>
        <v>55941.820354912226</v>
      </c>
      <c r="Q22" s="11">
        <f>_xlfn.FORECAST.ETS(Q$15,$E22:P22,$E$15:P$15)</f>
        <v>57314.630177163723</v>
      </c>
      <c r="R22" s="11">
        <f>_xlfn.FORECAST.ETS(R$15,$E22:Q22,$E$15:Q$15)</f>
        <v>58687.484315531168</v>
      </c>
      <c r="S22" s="11">
        <f>_xlfn.FORECAST.ETS(S$15,$E22:R22,$E$15:R$15)</f>
        <v>60060.338401168861</v>
      </c>
      <c r="T22" s="11">
        <f>_xlfn.FORECAST.ETS(T$15,$E22:S22,$E$15:S$15)</f>
        <v>61433.162269303619</v>
      </c>
    </row>
    <row r="23" spans="1:20">
      <c r="B23" s="27">
        <f>'Actual Expenses'!B13</f>
        <v>11268</v>
      </c>
      <c r="C23" s="28" t="str">
        <f>'Actual Expenses'!C13</f>
        <v>HR</v>
      </c>
      <c r="D23" s="29" t="str">
        <f>'Actual Expenses'!D13</f>
        <v>Meetups</v>
      </c>
      <c r="E23" s="11">
        <f>'Actual Expenses'!E13</f>
        <v>60285</v>
      </c>
      <c r="F23" s="11">
        <f>'Actual Expenses'!F13</f>
        <v>61225</v>
      </c>
      <c r="G23" s="11">
        <f>'Actual Expenses'!G13</f>
        <v>68994</v>
      </c>
      <c r="H23" s="11">
        <f>'Actual Expenses'!H13</f>
        <v>72410</v>
      </c>
      <c r="I23" s="11">
        <f>_xlfn.FORECAST.ETS(I$15,$E23:H23,$E$15:H$15)</f>
        <v>76705.606550771539</v>
      </c>
      <c r="J23" s="11">
        <f>_xlfn.FORECAST.ETS(J$15,$E23:I23,$E$15:I$15)</f>
        <v>80731.326035333477</v>
      </c>
      <c r="K23" s="11">
        <f>_xlfn.FORECAST.ETS(K$15,$E23:J23,$E$15:J$15)</f>
        <v>87089.65779041838</v>
      </c>
      <c r="L23" s="11">
        <f>_xlfn.FORECAST.ETS(L$15,$E23:K23,$E$15:K$15)</f>
        <v>90875.730395796971</v>
      </c>
      <c r="M23" s="11">
        <f>_xlfn.FORECAST.ETS(M$15,$E23:L23,$E$15:L$15)</f>
        <v>96948.062430063554</v>
      </c>
      <c r="N23" s="11">
        <f>_xlfn.FORECAST.ETS(N$15,$E23:M23,$E$15:M$15)</f>
        <v>100800.21730959584</v>
      </c>
      <c r="O23" s="11">
        <f>_xlfn.FORECAST.ETS(O$15,$E23:N23,$E$15:N$15)</f>
        <v>106865.98156559149</v>
      </c>
      <c r="P23" s="11">
        <f>_xlfn.FORECAST.ETS(P$15,$E23:O23,$E$15:O$15)</f>
        <v>111036.0335243259</v>
      </c>
      <c r="Q23" s="11">
        <f>_xlfn.FORECAST.ETS(Q$15,$E23:P23,$E$15:P$15)</f>
        <v>117072.50922037291</v>
      </c>
      <c r="R23" s="11">
        <f>_xlfn.FORECAST.ETS(R$15,$E23:Q23,$E$15:Q$15)</f>
        <v>120138.49910544444</v>
      </c>
      <c r="S23" s="11">
        <f>_xlfn.FORECAST.ETS(S$15,$E23:R23,$E$15:R$15)</f>
        <v>126916.63408933014</v>
      </c>
      <c r="T23" s="11">
        <f>_xlfn.FORECAST.ETS(T$15,$E23:S23,$E$15:S$15)</f>
        <v>131085.87909406843</v>
      </c>
    </row>
    <row r="25" spans="1:20">
      <c r="B25" s="22" t="s">
        <v>54</v>
      </c>
      <c r="C25" s="25"/>
      <c r="D25" s="25"/>
      <c r="E25" s="24" t="s">
        <v>25</v>
      </c>
      <c r="F25" s="24"/>
      <c r="G25" s="24"/>
      <c r="H25" s="24"/>
      <c r="I25" s="22" t="s">
        <v>26</v>
      </c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</row>
    <row r="26" spans="1:20">
      <c r="A26" t="s">
        <v>27</v>
      </c>
      <c r="B26" s="26" t="str">
        <f>B15</f>
        <v>Account #</v>
      </c>
      <c r="C26" s="26" t="str">
        <f>C15</f>
        <v>Department</v>
      </c>
      <c r="D26" s="26" t="str">
        <f>D15</f>
        <v>Description</v>
      </c>
      <c r="E26" s="2">
        <f>E15</f>
        <v>45536</v>
      </c>
      <c r="F26" s="2">
        <f>F15</f>
        <v>45566</v>
      </c>
      <c r="G26" s="2">
        <f>G15</f>
        <v>45597</v>
      </c>
      <c r="H26" s="2">
        <f>H15</f>
        <v>45627</v>
      </c>
      <c r="I26" s="2">
        <f>EDATE(H26,1)</f>
        <v>45658</v>
      </c>
      <c r="J26" s="2">
        <f t="shared" ref="J26:T26" si="12">EDATE(I26,1)</f>
        <v>45689</v>
      </c>
      <c r="K26" s="2">
        <f t="shared" si="12"/>
        <v>45717</v>
      </c>
      <c r="L26" s="2">
        <f t="shared" si="12"/>
        <v>45748</v>
      </c>
      <c r="M26" s="2">
        <f t="shared" si="12"/>
        <v>45778</v>
      </c>
      <c r="N26" s="2">
        <f t="shared" si="12"/>
        <v>45809</v>
      </c>
      <c r="O26" s="2">
        <f t="shared" si="12"/>
        <v>45839</v>
      </c>
      <c r="P26" s="2">
        <f t="shared" si="12"/>
        <v>45870</v>
      </c>
      <c r="Q26" s="2">
        <f t="shared" si="12"/>
        <v>45901</v>
      </c>
      <c r="R26" s="2">
        <f t="shared" si="12"/>
        <v>45931</v>
      </c>
      <c r="S26" s="2">
        <f t="shared" si="12"/>
        <v>45962</v>
      </c>
      <c r="T26" s="2">
        <f t="shared" si="12"/>
        <v>45992</v>
      </c>
    </row>
    <row r="27" spans="1:20">
      <c r="B27" s="27">
        <f>B16</f>
        <v>11256</v>
      </c>
      <c r="C27" s="28" t="str">
        <f>C16</f>
        <v>Marketing</v>
      </c>
      <c r="D27" t="str">
        <f>D16</f>
        <v>Paid Ads</v>
      </c>
      <c r="E27" s="11">
        <f>E16</f>
        <v>22992</v>
      </c>
      <c r="F27" s="11">
        <f>F16</f>
        <v>24001</v>
      </c>
      <c r="G27" s="11">
        <f>G16</f>
        <v>26558</v>
      </c>
      <c r="H27" s="11">
        <f>H16</f>
        <v>25446</v>
      </c>
      <c r="I27" s="11">
        <f>I16*(1+$C$48)</f>
        <v>34917.689482945338</v>
      </c>
      <c r="J27" s="11">
        <f t="shared" ref="J27:T27" si="13">J16*(1+$C$48)</f>
        <v>34999.371639389101</v>
      </c>
      <c r="K27" s="11">
        <f t="shared" si="13"/>
        <v>37128.285881616714</v>
      </c>
      <c r="L27" s="11">
        <f t="shared" si="13"/>
        <v>37051.861512717493</v>
      </c>
      <c r="M27" s="11">
        <f t="shared" si="13"/>
        <v>39131.751112000558</v>
      </c>
      <c r="N27" s="11">
        <f t="shared" si="13"/>
        <v>39145.234959643334</v>
      </c>
      <c r="O27" s="11">
        <f t="shared" si="13"/>
        <v>41173.846309436871</v>
      </c>
      <c r="P27" s="11">
        <f t="shared" si="13"/>
        <v>41188.47055175525</v>
      </c>
      <c r="Q27" s="11">
        <f t="shared" si="13"/>
        <v>43213.245401582913</v>
      </c>
      <c r="R27" s="11">
        <f t="shared" si="13"/>
        <v>43226.056905783211</v>
      </c>
      <c r="S27" s="11">
        <f t="shared" si="13"/>
        <v>45249.761118855102</v>
      </c>
      <c r="T27" s="11">
        <f t="shared" si="13"/>
        <v>45261.931623797616</v>
      </c>
    </row>
    <row r="28" spans="1:20">
      <c r="B28" s="27">
        <f>B17</f>
        <v>11257</v>
      </c>
      <c r="C28" s="28" t="str">
        <f>C17</f>
        <v>Marketing</v>
      </c>
      <c r="D28" t="str">
        <f>D17</f>
        <v>Infuencers</v>
      </c>
      <c r="E28" s="11">
        <f>E17</f>
        <v>53326</v>
      </c>
      <c r="F28" s="11">
        <f>F17</f>
        <v>54223</v>
      </c>
      <c r="G28" s="11">
        <f>G17</f>
        <v>51000</v>
      </c>
      <c r="H28" s="11">
        <f>H17</f>
        <v>50000</v>
      </c>
      <c r="I28" s="11">
        <f>I17*(1-$C$48)</f>
        <v>34200.980545385173</v>
      </c>
      <c r="J28" s="11">
        <f t="shared" ref="J28:T28" si="14">J17*(1-$C$48)</f>
        <v>33310.176480780006</v>
      </c>
      <c r="K28" s="11">
        <f t="shared" si="14"/>
        <v>32090.814518135339</v>
      </c>
      <c r="L28" s="11">
        <f t="shared" si="14"/>
        <v>31213.973673170192</v>
      </c>
      <c r="M28" s="11">
        <f t="shared" si="14"/>
        <v>30010.158161652198</v>
      </c>
      <c r="N28" s="11">
        <f t="shared" si="14"/>
        <v>29161.646182565881</v>
      </c>
      <c r="O28" s="11">
        <f t="shared" si="14"/>
        <v>27790.83885060023</v>
      </c>
      <c r="P28" s="11">
        <f t="shared" si="14"/>
        <v>26969.094121547165</v>
      </c>
      <c r="Q28" s="11">
        <f t="shared" si="14"/>
        <v>25628.388464371685</v>
      </c>
      <c r="R28" s="11">
        <f t="shared" si="14"/>
        <v>24768.79403287782</v>
      </c>
      <c r="S28" s="11">
        <f t="shared" si="14"/>
        <v>23566.346543980169</v>
      </c>
      <c r="T28" s="11">
        <f t="shared" si="14"/>
        <v>22623.485988124976</v>
      </c>
    </row>
    <row r="29" spans="1:20">
      <c r="B29" s="27">
        <f>B18</f>
        <v>11259</v>
      </c>
      <c r="C29" s="28" t="str">
        <f>C18</f>
        <v>Engineering</v>
      </c>
      <c r="D29" t="str">
        <f>D18</f>
        <v>Consulting</v>
      </c>
      <c r="E29" s="11">
        <f>E18</f>
        <v>35888</v>
      </c>
      <c r="F29" s="11">
        <f>F18</f>
        <v>36880</v>
      </c>
      <c r="G29" s="11">
        <f>G18</f>
        <v>37995</v>
      </c>
      <c r="H29" s="11">
        <f>H18</f>
        <v>40000</v>
      </c>
      <c r="I29" s="11">
        <f>I18*(1-$C$48)</f>
        <v>28828.77984095077</v>
      </c>
      <c r="J29" s="11">
        <f>J18*(1-$C$48)</f>
        <v>29829.570164476117</v>
      </c>
      <c r="K29" s="11">
        <f>K18*(1-$C$48)</f>
        <v>30825.317504704482</v>
      </c>
      <c r="L29" s="11">
        <f>L18*(1-$C$48)</f>
        <v>31789.738290075573</v>
      </c>
      <c r="M29" s="11">
        <f>M18*(1-$C$48)</f>
        <v>32770.197232069448</v>
      </c>
      <c r="N29" s="11">
        <f>N18*(1-$C$48)</f>
        <v>33750.717553995179</v>
      </c>
      <c r="O29" s="11">
        <f>O18*(1-$C$48)</f>
        <v>34731.303355507451</v>
      </c>
      <c r="P29" s="11">
        <f>P18*(1-$C$48)</f>
        <v>35711.936210127016</v>
      </c>
      <c r="Q29" s="11">
        <f>Q18*(1-$C$48)</f>
        <v>36692.596813977179</v>
      </c>
      <c r="R29" s="11">
        <f>R18*(1-$C$48)</f>
        <v>37673.269972245129</v>
      </c>
      <c r="S29" s="11">
        <f>S18*(1-$C$48)</f>
        <v>38653.944825962666</v>
      </c>
      <c r="T29" s="11">
        <f>T18*(1-$C$48)</f>
        <v>39634.6139658135</v>
      </c>
    </row>
    <row r="30" spans="1:20">
      <c r="B30" s="27">
        <f>B19</f>
        <v>11260</v>
      </c>
      <c r="C30" s="28" t="str">
        <f>C19</f>
        <v>Engineering</v>
      </c>
      <c r="D30" t="str">
        <f>D19</f>
        <v>Travel</v>
      </c>
      <c r="E30" s="11">
        <f>E19</f>
        <v>87942</v>
      </c>
      <c r="F30" s="11">
        <f>F19</f>
        <v>85224</v>
      </c>
      <c r="G30" s="11">
        <f>G19</f>
        <v>82469</v>
      </c>
      <c r="H30" s="11">
        <f>H19</f>
        <v>81005</v>
      </c>
      <c r="I30" s="11">
        <f>I19*(1-$C$48)</f>
        <v>54899.524086309277</v>
      </c>
      <c r="J30" s="11">
        <f>J19*(1-$C$48)</f>
        <v>53324.630403736133</v>
      </c>
      <c r="K30" s="11">
        <f>K19*(1-$C$48)</f>
        <v>51738.725525692258</v>
      </c>
      <c r="L30" s="11">
        <f>L19*(1-$C$48)</f>
        <v>50128.337214179221</v>
      </c>
      <c r="M30" s="11">
        <f>M19*(1-$C$48)</f>
        <v>48532.325102439019</v>
      </c>
      <c r="N30" s="11">
        <f>N19*(1-$C$48)</f>
        <v>46935.402424132728</v>
      </c>
      <c r="O30" s="11">
        <f>O19*(1-$C$48)</f>
        <v>45337.880400851762</v>
      </c>
      <c r="P30" s="11">
        <f>P19*(1-$C$48)</f>
        <v>43736.510289264064</v>
      </c>
      <c r="Q30" s="11">
        <f>Q19*(1-$C$48)</f>
        <v>42137.664854175375</v>
      </c>
      <c r="R30" s="11">
        <f>R19*(1-$C$48)</f>
        <v>40538.874672754966</v>
      </c>
      <c r="S30" s="11">
        <f>S19*(1-$C$48)</f>
        <v>38940.115777701256</v>
      </c>
      <c r="T30" s="11">
        <f>T19*(1-$C$48)</f>
        <v>37341.371385152641</v>
      </c>
    </row>
    <row r="31" spans="1:20">
      <c r="B31" s="27">
        <f>B20</f>
        <v>11263</v>
      </c>
      <c r="C31" s="28" t="str">
        <f>C20</f>
        <v>Support</v>
      </c>
      <c r="D31" s="29" t="str">
        <f>D20</f>
        <v>Software</v>
      </c>
      <c r="E31" s="11">
        <f>E20</f>
        <v>92622</v>
      </c>
      <c r="F31" s="11">
        <f>F20</f>
        <v>90005</v>
      </c>
      <c r="G31" s="11">
        <f>G20</f>
        <v>87556</v>
      </c>
      <c r="H31" s="11">
        <f>H20</f>
        <v>84522</v>
      </c>
      <c r="I31" s="11">
        <f>I20*(1-$C$48)</f>
        <v>57341.813562590374</v>
      </c>
      <c r="J31" s="11">
        <f>J20*(1-$C$48)</f>
        <v>55444.485458966454</v>
      </c>
      <c r="K31" s="11">
        <f>K20*(1-$C$48)</f>
        <v>53538.414930696134</v>
      </c>
      <c r="L31" s="11">
        <f>L20*(1-$C$48)</f>
        <v>51654.741549651335</v>
      </c>
      <c r="M31" s="11">
        <f>M20*(1-$C$48)</f>
        <v>49760.338279115051</v>
      </c>
      <c r="N31" s="11">
        <f>N20*(1-$C$48)</f>
        <v>47787.432473623994</v>
      </c>
      <c r="O31" s="11">
        <f>O20*(1-$C$48)</f>
        <v>45936.576201475269</v>
      </c>
      <c r="P31" s="11">
        <f>P20*(1-$C$48)</f>
        <v>44068.576570224628</v>
      </c>
      <c r="Q31" s="11">
        <f>Q20*(1-$C$48)</f>
        <v>42151.344565080486</v>
      </c>
      <c r="R31" s="11">
        <f>R20*(1-$C$48)</f>
        <v>40254.195099483688</v>
      </c>
      <c r="S31" s="11">
        <f>S20*(1-$C$48)</f>
        <v>38357.095573872546</v>
      </c>
      <c r="T31" s="11">
        <f>T20*(1-$C$48)</f>
        <v>36391.144743915756</v>
      </c>
    </row>
    <row r="32" spans="1:20">
      <c r="B32" s="27">
        <f>B21</f>
        <v>11264</v>
      </c>
      <c r="C32" s="28" t="str">
        <f>C21</f>
        <v>Support</v>
      </c>
      <c r="D32" s="29" t="str">
        <f>D21</f>
        <v>Call Center</v>
      </c>
      <c r="E32" s="11">
        <f>E21</f>
        <v>27416</v>
      </c>
      <c r="F32" s="11">
        <f>F21</f>
        <v>26554</v>
      </c>
      <c r="G32" s="11">
        <f>G21</f>
        <v>24330</v>
      </c>
      <c r="H32" s="11">
        <f>H21</f>
        <v>22338</v>
      </c>
      <c r="I32" s="11">
        <f>I21*(1-$C$48)</f>
        <v>14549.273701251192</v>
      </c>
      <c r="J32" s="11">
        <f>J21*(1-$C$48)</f>
        <v>13276.457130534738</v>
      </c>
      <c r="K32" s="11">
        <f>K21*(1-$C$48)</f>
        <v>11997.135599311807</v>
      </c>
      <c r="L32" s="11">
        <f>L21*(1-$C$48)</f>
        <v>10778.931124305331</v>
      </c>
      <c r="M32" s="11">
        <f>M21*(1-$C$48)</f>
        <v>9537.5757378848175</v>
      </c>
      <c r="N32" s="11">
        <f>N21*(1-$C$48)</f>
        <v>8021.7835158805083</v>
      </c>
      <c r="O32" s="11">
        <f>O21*(1-$C$48)</f>
        <v>7164.9996728893593</v>
      </c>
      <c r="P32" s="11">
        <f>P21*(1-$C$48)</f>
        <v>5789.8934227000091</v>
      </c>
      <c r="Q32" s="11">
        <f>Q21*(1-$C$48)</f>
        <v>4275.8521341583282</v>
      </c>
      <c r="R32" s="11">
        <f>R21*(1-$C$48)</f>
        <v>3381.5315295558466</v>
      </c>
      <c r="S32" s="11">
        <f>S21*(1-$C$48)</f>
        <v>2020.9961431256661</v>
      </c>
      <c r="T32" s="11">
        <f>T21*(1-$C$48)</f>
        <v>578.13463288932496</v>
      </c>
    </row>
    <row r="33" spans="1:20">
      <c r="B33" s="27">
        <f>B22</f>
        <v>11267</v>
      </c>
      <c r="C33" s="28" t="str">
        <f>C22</f>
        <v>HR</v>
      </c>
      <c r="D33" s="29" t="str">
        <f>D22</f>
        <v>Recruiting Events</v>
      </c>
      <c r="E33" s="11">
        <f>E22</f>
        <v>41696</v>
      </c>
      <c r="F33" s="11">
        <f>F22</f>
        <v>41696</v>
      </c>
      <c r="G33" s="11">
        <f>G22</f>
        <v>42558</v>
      </c>
      <c r="H33" s="11">
        <f>H22</f>
        <v>45448</v>
      </c>
      <c r="I33" s="11">
        <f>I22*(1-$C$48)</f>
        <v>32379.862872787697</v>
      </c>
      <c r="J33" s="11">
        <f>J22*(1-$C$48)</f>
        <v>33393.24659184787</v>
      </c>
      <c r="K33" s="11">
        <f>K22*(1-$C$48)</f>
        <v>34405.120024637334</v>
      </c>
      <c r="L33" s="11">
        <f>L22*(1-$C$48)</f>
        <v>35316.63006771393</v>
      </c>
      <c r="M33" s="11">
        <f>M22*(1-$C$48)</f>
        <v>36277.039902487682</v>
      </c>
      <c r="N33" s="11">
        <f>N22*(1-$C$48)</f>
        <v>37237.619600033184</v>
      </c>
      <c r="O33" s="11">
        <f>O22*(1-$C$48)</f>
        <v>38198.381949343799</v>
      </c>
      <c r="P33" s="11">
        <f>P22*(1-$C$48)</f>
        <v>39159.274248438553</v>
      </c>
      <c r="Q33" s="11">
        <f>Q22*(1-$C$48)</f>
        <v>40120.241124014603</v>
      </c>
      <c r="R33" s="11">
        <f>R22*(1-$C$48)</f>
        <v>41081.239020871813</v>
      </c>
      <c r="S33" s="11">
        <f>S22*(1-$C$48)</f>
        <v>42042.2368808182</v>
      </c>
      <c r="T33" s="11">
        <f>T22*(1-$C$48)</f>
        <v>43003.213588512532</v>
      </c>
    </row>
    <row r="34" spans="1:20">
      <c r="B34" s="27">
        <f>B23</f>
        <v>11268</v>
      </c>
      <c r="C34" s="28" t="str">
        <f>C23</f>
        <v>HR</v>
      </c>
      <c r="D34" s="29" t="str">
        <f>D23</f>
        <v>Meetups</v>
      </c>
      <c r="E34" s="11">
        <f>E23</f>
        <v>60285</v>
      </c>
      <c r="F34" s="11">
        <f>F23</f>
        <v>61225</v>
      </c>
      <c r="G34" s="11">
        <f>G23</f>
        <v>68994</v>
      </c>
      <c r="H34" s="11">
        <f>H23</f>
        <v>72410</v>
      </c>
      <c r="I34" s="11">
        <f>I23*(1-$C$48)</f>
        <v>53693.924585540073</v>
      </c>
      <c r="J34" s="11">
        <f>J23*(1-$C$48)</f>
        <v>56511.928224733434</v>
      </c>
      <c r="K34" s="11">
        <f>K23*(1-$C$48)</f>
        <v>60962.76045329286</v>
      </c>
      <c r="L34" s="11">
        <f>L23*(1-$C$48)</f>
        <v>63613.011277057878</v>
      </c>
      <c r="M34" s="11">
        <f>M23*(1-$C$48)</f>
        <v>67863.643701044479</v>
      </c>
      <c r="N34" s="11">
        <f>N23*(1-$C$48)</f>
        <v>70560.152116717087</v>
      </c>
      <c r="O34" s="11">
        <f>O23*(1-$C$48)</f>
        <v>74806.187095914036</v>
      </c>
      <c r="P34" s="11">
        <f>P23*(1-$C$48)</f>
        <v>77725.223467028132</v>
      </c>
      <c r="Q34" s="11">
        <f>Q23*(1-$C$48)</f>
        <v>81950.756454261034</v>
      </c>
      <c r="R34" s="11">
        <f>R23*(1-$C$48)</f>
        <v>84096.949373811105</v>
      </c>
      <c r="S34" s="11">
        <f>S23*(1-$C$48)</f>
        <v>88841.643862531098</v>
      </c>
      <c r="T34" s="11">
        <f>T23*(1-$C$48)</f>
        <v>91760.115365847887</v>
      </c>
    </row>
    <row r="36" spans="1:20">
      <c r="B36" s="22" t="s">
        <v>28</v>
      </c>
      <c r="C36" s="23"/>
      <c r="D36" s="23"/>
      <c r="E36" s="24" t="s">
        <v>25</v>
      </c>
      <c r="F36" s="24"/>
      <c r="G36" s="24"/>
      <c r="H36" s="24"/>
      <c r="I36" s="22" t="s">
        <v>26</v>
      </c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</row>
    <row r="37" spans="1:20">
      <c r="B37" s="26" t="str">
        <f t="shared" ref="B37:H37" si="15">B26</f>
        <v>Account #</v>
      </c>
      <c r="C37" s="26" t="str">
        <f t="shared" si="15"/>
        <v>Department</v>
      </c>
      <c r="D37" s="26" t="str">
        <f t="shared" si="15"/>
        <v>Description</v>
      </c>
      <c r="E37" s="2">
        <f t="shared" si="15"/>
        <v>45536</v>
      </c>
      <c r="F37" s="2">
        <f t="shared" si="15"/>
        <v>45566</v>
      </c>
      <c r="G37" s="2">
        <f t="shared" si="15"/>
        <v>45597</v>
      </c>
      <c r="H37" s="2">
        <f t="shared" si="15"/>
        <v>45627</v>
      </c>
      <c r="I37" s="2">
        <f>EDATE(H37,1)</f>
        <v>45658</v>
      </c>
      <c r="J37" s="2">
        <f t="shared" ref="J37:T37" si="16">EDATE(I37,1)</f>
        <v>45689</v>
      </c>
      <c r="K37" s="2">
        <f t="shared" si="16"/>
        <v>45717</v>
      </c>
      <c r="L37" s="2">
        <f t="shared" si="16"/>
        <v>45748</v>
      </c>
      <c r="M37" s="2">
        <f t="shared" si="16"/>
        <v>45778</v>
      </c>
      <c r="N37" s="2">
        <f t="shared" si="16"/>
        <v>45809</v>
      </c>
      <c r="O37" s="2">
        <f t="shared" si="16"/>
        <v>45839</v>
      </c>
      <c r="P37" s="2">
        <f t="shared" si="16"/>
        <v>45870</v>
      </c>
      <c r="Q37" s="2">
        <f t="shared" si="16"/>
        <v>45901</v>
      </c>
      <c r="R37" s="2">
        <f t="shared" si="16"/>
        <v>45931</v>
      </c>
      <c r="S37" s="2">
        <f t="shared" si="16"/>
        <v>45962</v>
      </c>
      <c r="T37" s="2">
        <f t="shared" si="16"/>
        <v>45992</v>
      </c>
    </row>
    <row r="38" spans="1:20">
      <c r="B38" s="27">
        <f t="shared" ref="B38:H38" si="17">B27</f>
        <v>11256</v>
      </c>
      <c r="C38" s="28" t="str">
        <f t="shared" si="17"/>
        <v>Marketing</v>
      </c>
      <c r="D38" t="str">
        <f t="shared" si="17"/>
        <v>Paid Ads</v>
      </c>
      <c r="E38" s="11">
        <f t="shared" si="17"/>
        <v>22992</v>
      </c>
      <c r="F38" s="11">
        <f t="shared" si="17"/>
        <v>24001</v>
      </c>
      <c r="G38" s="11">
        <f t="shared" si="17"/>
        <v>26558</v>
      </c>
      <c r="H38" s="11">
        <f t="shared" si="17"/>
        <v>25446</v>
      </c>
      <c r="I38" s="11">
        <f>I16*(1-$C$49)</f>
        <v>18801.832798509025</v>
      </c>
      <c r="J38" s="11">
        <f t="shared" ref="J38:T38" si="18">J16*(1-$C$49)</f>
        <v>18845.81549813259</v>
      </c>
      <c r="K38" s="11">
        <f t="shared" si="18"/>
        <v>19992.153936255152</v>
      </c>
      <c r="L38" s="11">
        <f t="shared" si="18"/>
        <v>19951.002353001724</v>
      </c>
      <c r="M38" s="11">
        <f t="shared" si="18"/>
        <v>21070.942906461838</v>
      </c>
      <c r="N38" s="11">
        <f t="shared" si="18"/>
        <v>21078.203439807949</v>
      </c>
      <c r="O38" s="11">
        <f t="shared" si="18"/>
        <v>22170.532628158315</v>
      </c>
      <c r="P38" s="11">
        <f t="shared" si="18"/>
        <v>22178.407220175901</v>
      </c>
      <c r="Q38" s="11">
        <f t="shared" si="18"/>
        <v>23268.670600852336</v>
      </c>
      <c r="R38" s="11">
        <f t="shared" si="18"/>
        <v>23275.569103114034</v>
      </c>
      <c r="S38" s="11">
        <f t="shared" si="18"/>
        <v>24365.25598707582</v>
      </c>
      <c r="T38" s="11">
        <f t="shared" si="18"/>
        <v>24371.809335891023</v>
      </c>
    </row>
    <row r="39" spans="1:20">
      <c r="B39" s="27">
        <f t="shared" ref="B39:H39" si="19">B28</f>
        <v>11257</v>
      </c>
      <c r="C39" s="28" t="str">
        <f t="shared" si="19"/>
        <v>Marketing</v>
      </c>
      <c r="D39" t="str">
        <f t="shared" si="19"/>
        <v>Infuencers</v>
      </c>
      <c r="E39" s="11">
        <f t="shared" si="19"/>
        <v>53326</v>
      </c>
      <c r="F39" s="11">
        <f t="shared" si="19"/>
        <v>54223</v>
      </c>
      <c r="G39" s="11">
        <f t="shared" si="19"/>
        <v>51000</v>
      </c>
      <c r="H39" s="11">
        <f t="shared" si="19"/>
        <v>50000</v>
      </c>
      <c r="I39" s="11">
        <f>I17*(1+$C$49)</f>
        <v>63516.106727143895</v>
      </c>
      <c r="J39" s="11">
        <f t="shared" ref="J39:T39" si="20">J17*(1+$C$49)</f>
        <v>61861.756321448585</v>
      </c>
      <c r="K39" s="11">
        <f t="shared" si="20"/>
        <v>59597.226962251349</v>
      </c>
      <c r="L39" s="11">
        <f t="shared" si="20"/>
        <v>57968.808250173221</v>
      </c>
      <c r="M39" s="11">
        <f t="shared" si="20"/>
        <v>55733.150871639802</v>
      </c>
      <c r="N39" s="11">
        <f t="shared" si="20"/>
        <v>54157.3429104795</v>
      </c>
      <c r="O39" s="11">
        <f t="shared" si="20"/>
        <v>51611.557865400428</v>
      </c>
      <c r="P39" s="11">
        <f t="shared" si="20"/>
        <v>50085.46051144474</v>
      </c>
      <c r="Q39" s="11">
        <f t="shared" si="20"/>
        <v>47595.578576690277</v>
      </c>
      <c r="R39" s="11">
        <f t="shared" si="20"/>
        <v>45999.188918201675</v>
      </c>
      <c r="S39" s="11">
        <f t="shared" si="20"/>
        <v>43766.072153106034</v>
      </c>
      <c r="T39" s="11">
        <f t="shared" si="20"/>
        <v>42015.045406517813</v>
      </c>
    </row>
    <row r="40" spans="1:20">
      <c r="B40" s="27">
        <f t="shared" ref="B40:H40" si="21">B29</f>
        <v>11259</v>
      </c>
      <c r="C40" s="28" t="str">
        <f t="shared" si="21"/>
        <v>Engineering</v>
      </c>
      <c r="D40" t="str">
        <f t="shared" si="21"/>
        <v>Consulting</v>
      </c>
      <c r="E40" s="11">
        <f t="shared" si="21"/>
        <v>35888</v>
      </c>
      <c r="F40" s="11">
        <f t="shared" si="21"/>
        <v>36880</v>
      </c>
      <c r="G40" s="11">
        <f t="shared" si="21"/>
        <v>37995</v>
      </c>
      <c r="H40" s="11">
        <f t="shared" si="21"/>
        <v>40000</v>
      </c>
      <c r="I40" s="11">
        <f>I18*(1+$C$49)</f>
        <v>53539.162561765719</v>
      </c>
      <c r="J40" s="11">
        <f>J18*(1+$C$49)</f>
        <v>55397.773162598511</v>
      </c>
      <c r="K40" s="11">
        <f>K18*(1+$C$49)</f>
        <v>57247.018223022613</v>
      </c>
      <c r="L40" s="11">
        <f>L18*(1+$C$49)</f>
        <v>59038.085395854643</v>
      </c>
      <c r="M40" s="11">
        <f>M18*(1+$C$49)</f>
        <v>60858.937716700399</v>
      </c>
      <c r="N40" s="11">
        <f>N18*(1+$C$49)</f>
        <v>62679.904028848199</v>
      </c>
      <c r="O40" s="11">
        <f>O18*(1+$C$49)</f>
        <v>64500.991945942413</v>
      </c>
      <c r="P40" s="11">
        <f>P18*(1+$C$49)</f>
        <v>66322.167247378748</v>
      </c>
      <c r="Q40" s="11">
        <f>Q18*(1+$C$49)</f>
        <v>68143.394083100487</v>
      </c>
      <c r="R40" s="11">
        <f>R18*(1+$C$49)</f>
        <v>69964.644234169537</v>
      </c>
      <c r="S40" s="11">
        <f>S18*(1+$C$49)</f>
        <v>71785.897533930663</v>
      </c>
      <c r="T40" s="11">
        <f>T18*(1+$C$49)</f>
        <v>73607.140222225076</v>
      </c>
    </row>
    <row r="41" spans="1:20">
      <c r="B41" s="27">
        <f t="shared" ref="B41:H41" si="22">B30</f>
        <v>11260</v>
      </c>
      <c r="C41" s="28" t="str">
        <f t="shared" si="22"/>
        <v>Engineering</v>
      </c>
      <c r="D41" t="str">
        <f t="shared" si="22"/>
        <v>Travel</v>
      </c>
      <c r="E41" s="11">
        <f t="shared" si="22"/>
        <v>87942</v>
      </c>
      <c r="F41" s="11">
        <f t="shared" si="22"/>
        <v>85224</v>
      </c>
      <c r="G41" s="11">
        <f t="shared" si="22"/>
        <v>82469</v>
      </c>
      <c r="H41" s="11">
        <f t="shared" si="22"/>
        <v>81005</v>
      </c>
      <c r="I41" s="11">
        <f>I19*(1+$C$49)</f>
        <v>101956.25901743153</v>
      </c>
      <c r="J41" s="11">
        <f>J19*(1+$C$49)</f>
        <v>99031.456464081406</v>
      </c>
      <c r="K41" s="11">
        <f>K19*(1+$C$49)</f>
        <v>96086.204547714209</v>
      </c>
      <c r="L41" s="11">
        <f>L19*(1+$C$49)</f>
        <v>93095.483397761418</v>
      </c>
      <c r="M41" s="11">
        <f>M19*(1+$C$49)</f>
        <v>90131.460904529624</v>
      </c>
      <c r="N41" s="11">
        <f>N19*(1+$C$49)</f>
        <v>87165.747359103654</v>
      </c>
      <c r="O41" s="11">
        <f>O19*(1+$C$49)</f>
        <v>84198.92074443899</v>
      </c>
      <c r="P41" s="11">
        <f>P19*(1+$C$49)</f>
        <v>81224.947680061843</v>
      </c>
      <c r="Q41" s="11">
        <f>Q19*(1+$C$49)</f>
        <v>78255.663300611413</v>
      </c>
      <c r="R41" s="11">
        <f>R19*(1+$C$49)</f>
        <v>75286.481535116371</v>
      </c>
      <c r="S41" s="11">
        <f>S19*(1+$C$49)</f>
        <v>72317.357872873763</v>
      </c>
      <c r="T41" s="11">
        <f>T19*(1+$C$49)</f>
        <v>69348.261143854907</v>
      </c>
    </row>
    <row r="42" spans="1:20">
      <c r="B42" s="27">
        <f t="shared" ref="B42:H42" si="23">B31</f>
        <v>11263</v>
      </c>
      <c r="C42" s="28" t="str">
        <f t="shared" si="23"/>
        <v>Support</v>
      </c>
      <c r="D42" s="29" t="str">
        <f t="shared" si="23"/>
        <v>Software</v>
      </c>
      <c r="E42" s="11">
        <f t="shared" si="23"/>
        <v>92622</v>
      </c>
      <c r="F42" s="11">
        <f t="shared" si="23"/>
        <v>90005</v>
      </c>
      <c r="G42" s="11">
        <f t="shared" si="23"/>
        <v>87556</v>
      </c>
      <c r="H42" s="11">
        <f t="shared" si="23"/>
        <v>84522</v>
      </c>
      <c r="I42" s="11">
        <f>I20*(1+$C$49)</f>
        <v>106491.93947338214</v>
      </c>
      <c r="J42" s="11">
        <f>J20*(1+$C$49)</f>
        <v>102968.33013808056</v>
      </c>
      <c r="K42" s="11">
        <f>K20*(1+$C$49)</f>
        <v>99428.484871292836</v>
      </c>
      <c r="L42" s="11">
        <f>L20*(1+$C$49)</f>
        <v>95930.234306495346</v>
      </c>
      <c r="M42" s="11">
        <f>M20*(1+$C$49)</f>
        <v>92412.056804070817</v>
      </c>
      <c r="N42" s="11">
        <f>N20*(1+$C$49)</f>
        <v>88748.088879587434</v>
      </c>
      <c r="O42" s="11">
        <f>O20*(1+$C$49)</f>
        <v>85310.784374168361</v>
      </c>
      <c r="P42" s="11">
        <f>P20*(1+$C$49)</f>
        <v>81841.642201845752</v>
      </c>
      <c r="Q42" s="11">
        <f>Q20*(1+$C$49)</f>
        <v>78281.068478006622</v>
      </c>
      <c r="R42" s="11">
        <f>R20*(1+$C$49)</f>
        <v>74757.790899041138</v>
      </c>
      <c r="S42" s="11">
        <f>S20*(1+$C$49)</f>
        <v>71234.606065763306</v>
      </c>
      <c r="T42" s="11">
        <f>T20*(1+$C$49)</f>
        <v>67583.554524414983</v>
      </c>
    </row>
    <row r="43" spans="1:20">
      <c r="B43" s="27">
        <f t="shared" ref="B43:H43" si="24">B32</f>
        <v>11264</v>
      </c>
      <c r="C43" s="28" t="str">
        <f t="shared" si="24"/>
        <v>Support</v>
      </c>
      <c r="D43" s="29" t="str">
        <f t="shared" si="24"/>
        <v>Call Center</v>
      </c>
      <c r="E43" s="11">
        <f t="shared" si="24"/>
        <v>27416</v>
      </c>
      <c r="F43" s="11">
        <f t="shared" si="24"/>
        <v>26554</v>
      </c>
      <c r="G43" s="11">
        <f t="shared" si="24"/>
        <v>24330</v>
      </c>
      <c r="H43" s="11">
        <f t="shared" si="24"/>
        <v>22338</v>
      </c>
      <c r="I43" s="11">
        <f>I21*(1+$C$49)</f>
        <v>27020.079730895071</v>
      </c>
      <c r="J43" s="11">
        <f>J21*(1+$C$49)</f>
        <v>24656.277528135946</v>
      </c>
      <c r="K43" s="11">
        <f>K21*(1+$C$49)</f>
        <v>22280.394684436214</v>
      </c>
      <c r="L43" s="11">
        <f>L21*(1+$C$49)</f>
        <v>20018.014945138471</v>
      </c>
      <c r="M43" s="11">
        <f>M21*(1+$C$49)</f>
        <v>17712.640656071806</v>
      </c>
      <c r="N43" s="11">
        <f>N21*(1+$C$49)</f>
        <v>14897.597958063803</v>
      </c>
      <c r="O43" s="11">
        <f>O21*(1+$C$49)</f>
        <v>13306.427963937384</v>
      </c>
      <c r="P43" s="11">
        <f>P21*(1+$C$49)</f>
        <v>10752.659213585732</v>
      </c>
      <c r="Q43" s="11">
        <f>Q21*(1+$C$49)</f>
        <v>7940.8682491511818</v>
      </c>
      <c r="R43" s="11">
        <f>R21*(1+$C$49)</f>
        <v>6279.9871263180012</v>
      </c>
      <c r="S43" s="11">
        <f>S21*(1+$C$49)</f>
        <v>3753.2785515190944</v>
      </c>
      <c r="T43" s="11">
        <f>T21*(1+$C$49)</f>
        <v>1073.6786039373178</v>
      </c>
    </row>
    <row r="44" spans="1:20">
      <c r="B44" s="27">
        <f t="shared" ref="B44:H44" si="25">B33</f>
        <v>11267</v>
      </c>
      <c r="C44" s="28" t="str">
        <f t="shared" si="25"/>
        <v>HR</v>
      </c>
      <c r="D44" s="29" t="str">
        <f t="shared" si="25"/>
        <v>Recruiting Events</v>
      </c>
      <c r="E44" s="11">
        <f t="shared" si="25"/>
        <v>41696</v>
      </c>
      <c r="F44" s="11">
        <f t="shared" si="25"/>
        <v>41696</v>
      </c>
      <c r="G44" s="11">
        <f t="shared" si="25"/>
        <v>42558</v>
      </c>
      <c r="H44" s="11">
        <f t="shared" si="25"/>
        <v>45448</v>
      </c>
      <c r="I44" s="11">
        <f>I22*(1+$C$49)</f>
        <v>60134.031049462872</v>
      </c>
      <c r="J44" s="11">
        <f>J22*(1+$C$49)</f>
        <v>62016.029384860332</v>
      </c>
      <c r="K44" s="11">
        <f>K22*(1+$C$49)</f>
        <v>63895.222902897905</v>
      </c>
      <c r="L44" s="11">
        <f>L22*(1+$C$49)</f>
        <v>65588.027268611593</v>
      </c>
      <c r="M44" s="11">
        <f>M22*(1+$C$49)</f>
        <v>67371.645533191419</v>
      </c>
      <c r="N44" s="11">
        <f>N22*(1+$C$49)</f>
        <v>69155.579257204488</v>
      </c>
      <c r="O44" s="11">
        <f>O22*(1+$C$49)</f>
        <v>70939.852191638493</v>
      </c>
      <c r="P44" s="11">
        <f>P22*(1+$C$49)</f>
        <v>72724.3664613859</v>
      </c>
      <c r="Q44" s="11">
        <f>Q22*(1+$C$49)</f>
        <v>74509.019230312842</v>
      </c>
      <c r="R44" s="11">
        <f>R22*(1+$C$49)</f>
        <v>76293.729610190523</v>
      </c>
      <c r="S44" s="11">
        <f>S22*(1+$C$49)</f>
        <v>78078.439921519515</v>
      </c>
      <c r="T44" s="11">
        <f>T22*(1+$C$49)</f>
        <v>79863.110950094706</v>
      </c>
    </row>
    <row r="45" spans="1:20">
      <c r="A45" t="s">
        <v>27</v>
      </c>
      <c r="B45" s="27">
        <f t="shared" ref="B45:H45" si="26">B34</f>
        <v>11268</v>
      </c>
      <c r="C45" s="28" t="str">
        <f t="shared" si="26"/>
        <v>HR</v>
      </c>
      <c r="D45" s="29" t="str">
        <f t="shared" si="26"/>
        <v>Meetups</v>
      </c>
      <c r="E45" s="11">
        <f t="shared" si="26"/>
        <v>60285</v>
      </c>
      <c r="F45" s="11">
        <f t="shared" si="26"/>
        <v>61225</v>
      </c>
      <c r="G45" s="11">
        <f t="shared" si="26"/>
        <v>68994</v>
      </c>
      <c r="H45" s="11">
        <f t="shared" si="26"/>
        <v>72410</v>
      </c>
      <c r="I45" s="11">
        <f>I23*(1+$C$49)</f>
        <v>99717.288516002998</v>
      </c>
      <c r="J45" s="11">
        <f>J23*(1+$C$49)</f>
        <v>104950.72384593352</v>
      </c>
      <c r="K45" s="11">
        <f>K23*(1+$C$49)</f>
        <v>113216.55512754389</v>
      </c>
      <c r="L45" s="11">
        <f>L23*(1+$C$49)</f>
        <v>118138.44951453607</v>
      </c>
      <c r="M45" s="11">
        <f>M23*(1+$C$49)</f>
        <v>126032.48115908263</v>
      </c>
      <c r="N45" s="11">
        <f>N23*(1+$C$49)</f>
        <v>131040.2825024746</v>
      </c>
      <c r="O45" s="11">
        <f>O23*(1+$C$49)</f>
        <v>138925.77603526894</v>
      </c>
      <c r="P45" s="11">
        <f>P23*(1+$C$49)</f>
        <v>144346.84358162369</v>
      </c>
      <c r="Q45" s="11">
        <f>Q23*(1+$C$49)</f>
        <v>152194.26198648478</v>
      </c>
      <c r="R45" s="11">
        <f>R23*(1+$C$49)</f>
        <v>156180.04883707777</v>
      </c>
      <c r="S45" s="11">
        <f>S23*(1+$C$49)</f>
        <v>164991.62431612919</v>
      </c>
      <c r="T45" s="11">
        <f>T23*(1+$C$49)</f>
        <v>170411.64282228897</v>
      </c>
    </row>
    <row r="46" spans="1:20"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</row>
    <row r="47" spans="1:20">
      <c r="C47" s="54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</row>
    <row r="48" spans="1:20">
      <c r="B48" t="s">
        <v>51</v>
      </c>
      <c r="C48" s="55">
        <v>0.3</v>
      </c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</row>
    <row r="49" spans="2:3">
      <c r="B49" t="s">
        <v>52</v>
      </c>
      <c r="C49" s="55">
        <v>0.3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O40"/>
  <sheetViews>
    <sheetView zoomScale="115" zoomScaleNormal="115" workbookViewId="0">
      <selection activeCell="C2" sqref="C2"/>
    </sheetView>
  </sheetViews>
  <sheetFormatPr defaultColWidth="11.19921875" defaultRowHeight="15.6"/>
  <cols>
    <col min="1" max="1" width="4.796875" customWidth="1"/>
    <col min="2" max="2" width="32.5" customWidth="1"/>
    <col min="3" max="14" width="9.19921875" customWidth="1"/>
  </cols>
  <sheetData>
    <row r="2" spans="1:15">
      <c r="B2" s="5" t="s">
        <v>29</v>
      </c>
      <c r="C2" s="6">
        <v>1</v>
      </c>
    </row>
    <row r="4" spans="1:15">
      <c r="A4" t="s">
        <v>27</v>
      </c>
      <c r="B4" s="7" t="s">
        <v>30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5">
      <c r="B5" s="1" t="s">
        <v>31</v>
      </c>
      <c r="C5" s="2">
        <f>Forecast!I15</f>
        <v>45658</v>
      </c>
      <c r="D5" s="2">
        <f>Forecast!J15</f>
        <v>45689</v>
      </c>
      <c r="E5" s="2">
        <f>Forecast!K15</f>
        <v>45717</v>
      </c>
      <c r="F5" s="2">
        <f>Forecast!L15</f>
        <v>45748</v>
      </c>
      <c r="G5" s="2">
        <f>Forecast!M15</f>
        <v>45778</v>
      </c>
      <c r="H5" s="2">
        <f>Forecast!N15</f>
        <v>45809</v>
      </c>
      <c r="I5" s="2">
        <f>Forecast!O15</f>
        <v>45839</v>
      </c>
      <c r="J5" s="2">
        <f>Forecast!P15</f>
        <v>45870</v>
      </c>
      <c r="K5" s="2">
        <f>Forecast!Q15</f>
        <v>45901</v>
      </c>
      <c r="L5" s="2">
        <f>Forecast!R15</f>
        <v>45931</v>
      </c>
      <c r="M5" s="2">
        <f>Forecast!S15</f>
        <v>45962</v>
      </c>
      <c r="N5" s="2">
        <f>Forecast!T15</f>
        <v>45992</v>
      </c>
    </row>
    <row r="6" spans="1:15">
      <c r="B6" t="s">
        <v>32</v>
      </c>
      <c r="C6" s="13">
        <f>C31</f>
        <v>642803.63126347377</v>
      </c>
      <c r="D6" s="13">
        <f t="shared" ref="D6:N6" si="0">D31</f>
        <v>635278.79751757276</v>
      </c>
      <c r="E6" s="13">
        <f t="shared" si="0"/>
        <v>643737.6337176942</v>
      </c>
      <c r="F6" s="13">
        <f t="shared" si="0"/>
        <v>634872.26722875552</v>
      </c>
      <c r="G6" s="13">
        <f t="shared" si="0"/>
        <v>643019.7562449706</v>
      </c>
      <c r="H6" s="13">
        <f t="shared" si="0"/>
        <v>816950.2984608222</v>
      </c>
      <c r="I6" s="13">
        <f t="shared" si="0"/>
        <v>824817.63451404381</v>
      </c>
      <c r="J6" s="13">
        <f t="shared" si="0"/>
        <v>815164.473492697</v>
      </c>
      <c r="K6" s="13">
        <f t="shared" si="0"/>
        <v>823345.94103681704</v>
      </c>
      <c r="L6" s="13">
        <f t="shared" si="0"/>
        <v>813218.41722638579</v>
      </c>
      <c r="M6" s="13">
        <f t="shared" si="0"/>
        <v>823040.64764750982</v>
      </c>
      <c r="N6" s="13">
        <f t="shared" si="0"/>
        <v>811909.59463859419</v>
      </c>
    </row>
    <row r="7" spans="1:15">
      <c r="B7" t="s">
        <v>33</v>
      </c>
      <c r="C7" s="3">
        <f>C35</f>
        <v>192841.08937904213</v>
      </c>
      <c r="D7" s="3">
        <f t="shared" ref="D7:N7" si="1">D35</f>
        <v>190583.63925527182</v>
      </c>
      <c r="E7" s="3">
        <f t="shared" si="1"/>
        <v>193121.29011530825</v>
      </c>
      <c r="F7" s="3">
        <f t="shared" si="1"/>
        <v>190461.68016862666</v>
      </c>
      <c r="G7" s="3">
        <f t="shared" si="1"/>
        <v>192905.92687349117</v>
      </c>
      <c r="H7" s="3">
        <f t="shared" si="1"/>
        <v>245085.08953824666</v>
      </c>
      <c r="I7" s="3">
        <f t="shared" si="1"/>
        <v>247445.29035421312</v>
      </c>
      <c r="J7" s="3">
        <f t="shared" si="1"/>
        <v>244549.3420478091</v>
      </c>
      <c r="K7" s="3">
        <f t="shared" si="1"/>
        <v>247003.7823110451</v>
      </c>
      <c r="L7" s="3">
        <f t="shared" si="1"/>
        <v>243965.52516791574</v>
      </c>
      <c r="M7" s="3">
        <f t="shared" si="1"/>
        <v>246912.19429425293</v>
      </c>
      <c r="N7" s="3">
        <f t="shared" si="1"/>
        <v>243572.87839157824</v>
      </c>
    </row>
    <row r="8" spans="1:15">
      <c r="B8" s="9" t="s">
        <v>34</v>
      </c>
      <c r="C8" s="10">
        <f>C6-C7</f>
        <v>449962.54188443162</v>
      </c>
      <c r="D8" s="10">
        <f t="shared" ref="D8:N8" si="2">D6-D7</f>
        <v>444695.15826230095</v>
      </c>
      <c r="E8" s="10">
        <f t="shared" si="2"/>
        <v>450616.34360238595</v>
      </c>
      <c r="F8" s="10">
        <f t="shared" si="2"/>
        <v>444410.58706012886</v>
      </c>
      <c r="G8" s="10">
        <f t="shared" si="2"/>
        <v>450113.82937147946</v>
      </c>
      <c r="H8" s="10">
        <f t="shared" si="2"/>
        <v>571865.20892257558</v>
      </c>
      <c r="I8" s="10">
        <f t="shared" si="2"/>
        <v>577372.34415983071</v>
      </c>
      <c r="J8" s="10">
        <f t="shared" si="2"/>
        <v>570615.13144488796</v>
      </c>
      <c r="K8" s="10">
        <f t="shared" si="2"/>
        <v>576342.15872577194</v>
      </c>
      <c r="L8" s="10">
        <f t="shared" si="2"/>
        <v>569252.89205847005</v>
      </c>
      <c r="M8" s="10">
        <f t="shared" si="2"/>
        <v>576128.45335325692</v>
      </c>
      <c r="N8" s="10">
        <f t="shared" si="2"/>
        <v>568336.71624701598</v>
      </c>
    </row>
    <row r="9" spans="1:15">
      <c r="B9" s="5"/>
      <c r="C9" s="11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5">
      <c r="B10" t="s">
        <v>35</v>
      </c>
    </row>
    <row r="11" spans="1:15">
      <c r="B11" s="12" t="str" cm="1">
        <f t="array" ref="B11:B14">_xlfn.UNIQUE(Forecast!C16:C23)</f>
        <v>Marketing</v>
      </c>
      <c r="C11" s="13">
        <f>SUMIFS(Forecast!I$4:I$11,Forecast!$C$4:$C$11,'Income Statement'!$B11)</f>
        <v>69118.670028330511</v>
      </c>
      <c r="D11" s="13">
        <f>SUMIFS(Forecast!J$4:J$11,Forecast!$C$4:$C$11,'Income Statement'!$B11)</f>
        <v>68309.548120169115</v>
      </c>
      <c r="E11" s="13">
        <f>SUMIFS(Forecast!K$4:K$11,Forecast!$C$4:$C$11,'Income Statement'!$B11)</f>
        <v>69219.10039975206</v>
      </c>
      <c r="F11" s="13">
        <f>SUMIFS(Forecast!L$4:L$11,Forecast!$C$4:$C$11,'Income Statement'!$B11)</f>
        <v>68265.835185887685</v>
      </c>
      <c r="G11" s="13">
        <f>SUMIFS(Forecast!M$4:M$11,Forecast!$C$4:$C$11,'Income Statement'!$B11)</f>
        <v>69141.909273652753</v>
      </c>
      <c r="H11" s="13">
        <f>SUMIFS(Forecast!N$4:N$11,Forecast!$C$4:$C$11,'Income Statement'!$B11)</f>
        <v>68306.881142209211</v>
      </c>
      <c r="I11" s="13">
        <f>SUMIFS(Forecast!O$4:O$11,Forecast!$C$4:$C$11,'Income Statement'!$B11)</f>
        <v>68964.685160037101</v>
      </c>
      <c r="J11" s="13">
        <f>SUMIFS(Forecast!P$4:P$11,Forecast!$C$4:$C$11,'Income Statement'!$B11)</f>
        <v>68157.564673302419</v>
      </c>
      <c r="K11" s="13">
        <f>SUMIFS(Forecast!Q$4:Q$11,Forecast!$C$4:$C$11,'Income Statement'!$B11)</f>
        <v>68841.633865954602</v>
      </c>
      <c r="L11" s="13">
        <f>SUMIFS(Forecast!R$4:R$11,Forecast!$C$4:$C$11,'Income Statement'!$B11)</f>
        <v>67994.850938661024</v>
      </c>
      <c r="M11" s="13">
        <f>SUMIFS(Forecast!S$4:S$11,Forecast!$C$4:$C$11,'Income Statement'!$B11)</f>
        <v>68816.107662835275</v>
      </c>
      <c r="N11" s="13">
        <f>SUMIFS(Forecast!T$4:T$11,Forecast!$C$4:$C$11,'Income Statement'!$B11)</f>
        <v>67885.417611922589</v>
      </c>
      <c r="O11" s="11"/>
    </row>
    <row r="12" spans="1:15">
      <c r="B12" s="12" t="str">
        <v>Engineering</v>
      </c>
      <c r="C12" s="13">
        <f>SUMIFS(Forecast!I$4:I$11,Forecast!$C$4:$C$11,'Income Statement'!$B12)</f>
        <v>83728.303927260044</v>
      </c>
      <c r="D12" s="13">
        <f>SUMIFS(Forecast!J$4:J$11,Forecast!$C$4:$C$11,'Income Statement'!$B12)</f>
        <v>83154.200568212254</v>
      </c>
      <c r="E12" s="13">
        <f>SUMIFS(Forecast!K$4:K$11,Forecast!$C$4:$C$11,'Income Statement'!$B12)</f>
        <v>82564.043030396744</v>
      </c>
      <c r="F12" s="13">
        <f>SUMIFS(Forecast!L$4:L$11,Forecast!$C$4:$C$11,'Income Statement'!$B12)</f>
        <v>81918.075504254797</v>
      </c>
      <c r="G12" s="13">
        <f>SUMIFS(Forecast!M$4:M$11,Forecast!$C$4:$C$11,'Income Statement'!$B12)</f>
        <v>81302.522334508467</v>
      </c>
      <c r="H12" s="13">
        <f>SUMIFS(Forecast!N$4:N$11,Forecast!$C$4:$C$11,'Income Statement'!$B12)</f>
        <v>80686.119978127914</v>
      </c>
      <c r="I12" s="13">
        <f>SUMIFS(Forecast!O$4:O$11,Forecast!$C$4:$C$11,'Income Statement'!$B12)</f>
        <v>80069.183756359213</v>
      </c>
      <c r="J12" s="13">
        <f>SUMIFS(Forecast!P$4:P$11,Forecast!$C$4:$C$11,'Income Statement'!$B12)</f>
        <v>79448.446499391081</v>
      </c>
      <c r="K12" s="13">
        <f>SUMIFS(Forecast!Q$4:Q$11,Forecast!$C$4:$C$11,'Income Statement'!$B12)</f>
        <v>78830.261668152554</v>
      </c>
      <c r="L12" s="13">
        <f>SUMIFS(Forecast!R$4:R$11,Forecast!$C$4:$C$11,'Income Statement'!$B12)</f>
        <v>78212.144645000095</v>
      </c>
      <c r="M12" s="13">
        <f>SUMIFS(Forecast!S$4:S$11,Forecast!$C$4:$C$11,'Income Statement'!$B12)</f>
        <v>77594.060603663922</v>
      </c>
      <c r="N12" s="13">
        <f>SUMIFS(Forecast!T$4:T$11,Forecast!$C$4:$C$11,'Income Statement'!$B12)</f>
        <v>76975.985350966133</v>
      </c>
      <c r="O12" s="11"/>
    </row>
    <row r="13" spans="1:15">
      <c r="B13" s="12" t="str">
        <v>Support</v>
      </c>
      <c r="C13" s="13">
        <f>SUMIFS(Forecast!I$4:I$11,Forecast!$C$4:$C$11,'Income Statement'!$B13)</f>
        <v>71891.08726384156</v>
      </c>
      <c r="D13" s="13">
        <f>SUMIFS(Forecast!J$4:J$11,Forecast!$C$4:$C$11,'Income Statement'!$B13)</f>
        <v>68720.942589501195</v>
      </c>
      <c r="E13" s="13">
        <f>SUMIFS(Forecast!K$4:K$11,Forecast!$C$4:$C$11,'Income Statement'!$B13)</f>
        <v>65535.550530007939</v>
      </c>
      <c r="F13" s="13">
        <f>SUMIFS(Forecast!L$4:L$11,Forecast!$C$4:$C$11,'Income Statement'!$B13)</f>
        <v>62433.672673956666</v>
      </c>
      <c r="G13" s="13">
        <f>SUMIFS(Forecast!M$4:M$11,Forecast!$C$4:$C$11,'Income Statement'!$B13)</f>
        <v>59297.914016999872</v>
      </c>
      <c r="H13" s="13">
        <f>SUMIFS(Forecast!N$4:N$11,Forecast!$C$4:$C$11,'Income Statement'!$B13)</f>
        <v>55809.215989504504</v>
      </c>
      <c r="I13" s="13">
        <f>SUMIFS(Forecast!O$4:O$11,Forecast!$C$4:$C$11,'Income Statement'!$B13)</f>
        <v>53101.575874364629</v>
      </c>
      <c r="J13" s="13">
        <f>SUMIFS(Forecast!P$4:P$11,Forecast!$C$4:$C$11,'Income Statement'!$B13)</f>
        <v>49858.469992924634</v>
      </c>
      <c r="K13" s="13">
        <f>SUMIFS(Forecast!Q$4:Q$11,Forecast!$C$4:$C$11,'Income Statement'!$B13)</f>
        <v>46427.196699238812</v>
      </c>
      <c r="L13" s="13">
        <f>SUMIFS(Forecast!R$4:R$11,Forecast!$C$4:$C$11,'Income Statement'!$B13)</f>
        <v>43635.726629039535</v>
      </c>
      <c r="M13" s="13">
        <f>SUMIFS(Forecast!S$4:S$11,Forecast!$C$4:$C$11,'Income Statement'!$B13)</f>
        <v>40378.091716998213</v>
      </c>
      <c r="N13" s="13">
        <f>SUMIFS(Forecast!T$4:T$11,Forecast!$C$4:$C$11,'Income Statement'!$B13)</f>
        <v>36969.279376805083</v>
      </c>
      <c r="O13" s="11"/>
    </row>
    <row r="14" spans="1:15">
      <c r="B14" s="12" t="str">
        <v>HR</v>
      </c>
      <c r="C14" s="13">
        <f>SUMIFS(Forecast!I$4:I$11,Forecast!$C$4:$C$11,'Income Statement'!$B14)</f>
        <v>86073.787458327773</v>
      </c>
      <c r="D14" s="13">
        <f>SUMIFS(Forecast!J$4:J$11,Forecast!$C$4:$C$11,'Income Statement'!$B14)</f>
        <v>89905.174816581304</v>
      </c>
      <c r="E14" s="13">
        <f>SUMIFS(Forecast!K$4:K$11,Forecast!$C$4:$C$11,'Income Statement'!$B14)</f>
        <v>95367.880477930186</v>
      </c>
      <c r="F14" s="13">
        <f>SUMIFS(Forecast!L$4:L$11,Forecast!$C$4:$C$11,'Income Statement'!$B14)</f>
        <v>98929.641344771808</v>
      </c>
      <c r="G14" s="13">
        <f>SUMIFS(Forecast!M$4:M$11,Forecast!$C$4:$C$11,'Income Statement'!$B14)</f>
        <v>104140.68360353216</v>
      </c>
      <c r="H14" s="13">
        <f>SUMIFS(Forecast!N$4:N$11,Forecast!$C$4:$C$11,'Income Statement'!$B14)</f>
        <v>107797.77171675027</v>
      </c>
      <c r="I14" s="13">
        <f>SUMIFS(Forecast!O$4:O$11,Forecast!$C$4:$C$11,'Income Statement'!$B14)</f>
        <v>113004.56904525784</v>
      </c>
      <c r="J14" s="13">
        <f>SUMIFS(Forecast!P$4:P$11,Forecast!$C$4:$C$11,'Income Statement'!$B14)</f>
        <v>116884.49771546668</v>
      </c>
      <c r="K14" s="13">
        <f>SUMIFS(Forecast!Q$4:Q$11,Forecast!$C$4:$C$11,'Income Statement'!$B14)</f>
        <v>122070.99757827564</v>
      </c>
      <c r="L14" s="13">
        <f>SUMIFS(Forecast!R$4:R$11,Forecast!$C$4:$C$11,'Income Statement'!$B14)</f>
        <v>125178.18839468292</v>
      </c>
      <c r="M14" s="13">
        <f>SUMIFS(Forecast!S$4:S$11,Forecast!$C$4:$C$11,'Income Statement'!$B14)</f>
        <v>130883.88074334929</v>
      </c>
      <c r="N14" s="13">
        <f>SUMIFS(Forecast!T$4:T$11,Forecast!$C$4:$C$11,'Income Statement'!$B14)</f>
        <v>134763.32895436042</v>
      </c>
      <c r="O14" s="11"/>
    </row>
    <row r="15" spans="1:15">
      <c r="B15" t="s">
        <v>36</v>
      </c>
      <c r="C15" s="13">
        <f>SUM(C11:C14)</f>
        <v>310811.84867775987</v>
      </c>
      <c r="D15" s="13">
        <f t="shared" ref="D15:N15" si="3">SUM(D11:D14)</f>
        <v>310089.86609446385</v>
      </c>
      <c r="E15" s="13">
        <f t="shared" si="3"/>
        <v>312686.57443808694</v>
      </c>
      <c r="F15" s="13">
        <f t="shared" si="3"/>
        <v>311547.22470887098</v>
      </c>
      <c r="G15" s="13">
        <f t="shared" si="3"/>
        <v>313883.02922869322</v>
      </c>
      <c r="H15" s="13">
        <f t="shared" si="3"/>
        <v>312599.98882659187</v>
      </c>
      <c r="I15" s="13">
        <f t="shared" si="3"/>
        <v>315140.01383601874</v>
      </c>
      <c r="J15" s="13">
        <f t="shared" si="3"/>
        <v>314348.97888108483</v>
      </c>
      <c r="K15" s="13">
        <f t="shared" si="3"/>
        <v>316170.08981162164</v>
      </c>
      <c r="L15" s="13">
        <f t="shared" si="3"/>
        <v>315020.91060738359</v>
      </c>
      <c r="M15" s="13">
        <f t="shared" si="3"/>
        <v>317672.14072684664</v>
      </c>
      <c r="N15" s="13">
        <f t="shared" si="3"/>
        <v>316594.01129405422</v>
      </c>
      <c r="O15" s="11"/>
    </row>
    <row r="16" spans="1:15">
      <c r="B16" s="9" t="s">
        <v>37</v>
      </c>
      <c r="C16" s="14">
        <f>C8-C15</f>
        <v>139150.69320667174</v>
      </c>
      <c r="D16" s="14">
        <f t="shared" ref="D16:N16" si="4">D8-D15</f>
        <v>134605.29216783709</v>
      </c>
      <c r="E16" s="14">
        <f t="shared" si="4"/>
        <v>137929.76916429901</v>
      </c>
      <c r="F16" s="14">
        <f t="shared" si="4"/>
        <v>132863.36235125788</v>
      </c>
      <c r="G16" s="14">
        <f t="shared" si="4"/>
        <v>136230.80014278623</v>
      </c>
      <c r="H16" s="14">
        <f t="shared" si="4"/>
        <v>259265.22009598371</v>
      </c>
      <c r="I16" s="14">
        <f t="shared" si="4"/>
        <v>262232.33032381197</v>
      </c>
      <c r="J16" s="14">
        <f t="shared" si="4"/>
        <v>256266.15256380313</v>
      </c>
      <c r="K16" s="14">
        <f t="shared" si="4"/>
        <v>260172.0689141503</v>
      </c>
      <c r="L16" s="14">
        <f t="shared" si="4"/>
        <v>254231.98145108647</v>
      </c>
      <c r="M16" s="14">
        <f t="shared" si="4"/>
        <v>258456.31262641028</v>
      </c>
      <c r="N16" s="14">
        <f t="shared" si="4"/>
        <v>251742.70495296177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>
      <c r="B18" t="s">
        <v>38</v>
      </c>
      <c r="C18" s="3">
        <f>C38</f>
        <v>4821.0272344760533</v>
      </c>
      <c r="D18" s="3">
        <f t="shared" ref="D18:N18" si="5">D38</f>
        <v>4764.5909813817952</v>
      </c>
      <c r="E18" s="3">
        <f t="shared" si="5"/>
        <v>4828.0322528827064</v>
      </c>
      <c r="F18" s="3">
        <f t="shared" si="5"/>
        <v>4761.5420042156666</v>
      </c>
      <c r="G18" s="3">
        <f t="shared" si="5"/>
        <v>4822.6481718372797</v>
      </c>
      <c r="H18" s="3">
        <f t="shared" si="5"/>
        <v>6127.1272384561671</v>
      </c>
      <c r="I18" s="3">
        <f t="shared" si="5"/>
        <v>6186.1322588553285</v>
      </c>
      <c r="J18" s="3">
        <f t="shared" si="5"/>
        <v>6113.7335511952278</v>
      </c>
      <c r="K18" s="3">
        <f t="shared" si="5"/>
        <v>6175.0945577761277</v>
      </c>
      <c r="L18" s="3">
        <f t="shared" si="5"/>
        <v>6099.1381291978942</v>
      </c>
      <c r="M18" s="3">
        <f t="shared" si="5"/>
        <v>6172.8048573563237</v>
      </c>
      <c r="N18" s="3">
        <f t="shared" si="5"/>
        <v>6089.3219597894567</v>
      </c>
    </row>
    <row r="19" spans="1:14">
      <c r="B19" s="9" t="s">
        <v>39</v>
      </c>
      <c r="C19" s="10">
        <f>C16-C18</f>
        <v>134329.66597219568</v>
      </c>
      <c r="D19" s="10">
        <f t="shared" ref="D19:N19" si="6">D16-D18</f>
        <v>129840.70118645529</v>
      </c>
      <c r="E19" s="10">
        <f t="shared" si="6"/>
        <v>133101.73691141632</v>
      </c>
      <c r="F19" s="10">
        <f t="shared" si="6"/>
        <v>128101.82034704222</v>
      </c>
      <c r="G19" s="10">
        <f t="shared" si="6"/>
        <v>131408.15197094897</v>
      </c>
      <c r="H19" s="10">
        <f t="shared" si="6"/>
        <v>253138.09285752755</v>
      </c>
      <c r="I19" s="10">
        <f t="shared" si="6"/>
        <v>256046.19806495664</v>
      </c>
      <c r="J19" s="10">
        <f t="shared" si="6"/>
        <v>250152.41901260789</v>
      </c>
      <c r="K19" s="10">
        <f t="shared" si="6"/>
        <v>253996.97435637418</v>
      </c>
      <c r="L19" s="10">
        <f t="shared" si="6"/>
        <v>248132.84332188856</v>
      </c>
      <c r="M19" s="10">
        <f t="shared" si="6"/>
        <v>252283.50776905395</v>
      </c>
      <c r="N19" s="10">
        <f t="shared" si="6"/>
        <v>245653.3829931723</v>
      </c>
    </row>
    <row r="20" spans="1:14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1:14">
      <c r="B21" t="s">
        <v>40</v>
      </c>
      <c r="C21" s="3">
        <f>C19*$C$40</f>
        <v>33582.416493048921</v>
      </c>
      <c r="D21" s="3">
        <f t="shared" ref="D21:N21" si="7">D19*$C$40</f>
        <v>32460.175296613823</v>
      </c>
      <c r="E21" s="3">
        <f t="shared" si="7"/>
        <v>33275.434227854079</v>
      </c>
      <c r="F21" s="3">
        <f t="shared" si="7"/>
        <v>32025.455086760554</v>
      </c>
      <c r="G21" s="3">
        <f t="shared" si="7"/>
        <v>32852.037992737241</v>
      </c>
      <c r="H21" s="3">
        <f t="shared" si="7"/>
        <v>63284.523214381887</v>
      </c>
      <c r="I21" s="3">
        <f t="shared" si="7"/>
        <v>64011.54951623916</v>
      </c>
      <c r="J21" s="3">
        <f t="shared" si="7"/>
        <v>62538.104753151973</v>
      </c>
      <c r="K21" s="3">
        <f t="shared" si="7"/>
        <v>63499.243589093545</v>
      </c>
      <c r="L21" s="3">
        <f t="shared" si="7"/>
        <v>62033.210830472141</v>
      </c>
      <c r="M21" s="3">
        <f t="shared" si="7"/>
        <v>63070.876942263487</v>
      </c>
      <c r="N21" s="3">
        <f t="shared" si="7"/>
        <v>61413.345748293075</v>
      </c>
    </row>
    <row r="22" spans="1:14">
      <c r="B22" s="15" t="s">
        <v>41</v>
      </c>
      <c r="C22" s="16">
        <f>C19-C21</f>
        <v>100747.24947914676</v>
      </c>
      <c r="D22" s="16">
        <f t="shared" ref="D22:N22" si="8">D19-D21</f>
        <v>97380.525889841461</v>
      </c>
      <c r="E22" s="16">
        <f t="shared" si="8"/>
        <v>99826.302683562244</v>
      </c>
      <c r="F22" s="16">
        <f t="shared" si="8"/>
        <v>96076.365260281658</v>
      </c>
      <c r="G22" s="16">
        <f t="shared" si="8"/>
        <v>98556.113978211724</v>
      </c>
      <c r="H22" s="16">
        <f t="shared" si="8"/>
        <v>189853.56964314566</v>
      </c>
      <c r="I22" s="16">
        <f t="shared" si="8"/>
        <v>192034.64854871749</v>
      </c>
      <c r="J22" s="16">
        <f t="shared" si="8"/>
        <v>187614.31425945592</v>
      </c>
      <c r="K22" s="16">
        <f t="shared" si="8"/>
        <v>190497.73076728062</v>
      </c>
      <c r="L22" s="16">
        <f t="shared" si="8"/>
        <v>186099.63249141641</v>
      </c>
      <c r="M22" s="16">
        <f t="shared" si="8"/>
        <v>189212.63082679047</v>
      </c>
      <c r="N22" s="16">
        <f t="shared" si="8"/>
        <v>184240.03724487923</v>
      </c>
    </row>
    <row r="25" spans="1:14">
      <c r="A25" t="s">
        <v>27</v>
      </c>
      <c r="B25" s="17" t="s">
        <v>42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</row>
    <row r="26" spans="1:14">
      <c r="B26" s="5" t="s">
        <v>32</v>
      </c>
    </row>
    <row r="27" spans="1:14">
      <c r="B27" t="s">
        <v>43</v>
      </c>
      <c r="C27" s="18">
        <v>30</v>
      </c>
      <c r="D27" s="18">
        <v>30</v>
      </c>
      <c r="E27" s="18">
        <v>30</v>
      </c>
      <c r="F27" s="18">
        <v>30</v>
      </c>
      <c r="G27" s="18">
        <v>30</v>
      </c>
      <c r="H27" s="18">
        <v>25</v>
      </c>
      <c r="I27" s="18">
        <v>25</v>
      </c>
      <c r="J27" s="18">
        <v>25</v>
      </c>
      <c r="K27" s="18">
        <v>25</v>
      </c>
      <c r="L27" s="18">
        <v>25</v>
      </c>
      <c r="M27" s="18">
        <v>25</v>
      </c>
      <c r="N27" s="18">
        <v>25</v>
      </c>
    </row>
    <row r="28" spans="1:14">
      <c r="B28" t="s">
        <v>44</v>
      </c>
      <c r="C28" s="18">
        <v>279</v>
      </c>
      <c r="D28" s="18">
        <v>279</v>
      </c>
      <c r="E28" s="18">
        <v>279</v>
      </c>
      <c r="F28" s="18">
        <v>279</v>
      </c>
      <c r="G28" s="18">
        <v>279</v>
      </c>
      <c r="H28" s="18">
        <v>299</v>
      </c>
      <c r="I28" s="18">
        <v>299</v>
      </c>
      <c r="J28" s="18">
        <v>299</v>
      </c>
      <c r="K28" s="18">
        <v>299</v>
      </c>
      <c r="L28" s="18">
        <v>299</v>
      </c>
      <c r="M28" s="18">
        <v>299</v>
      </c>
      <c r="N28" s="18">
        <v>299</v>
      </c>
    </row>
    <row r="30" spans="1:14">
      <c r="B30" t="s">
        <v>45</v>
      </c>
      <c r="C30" s="13">
        <f>C11/C27</f>
        <v>2303.9556676110169</v>
      </c>
      <c r="D30" s="13">
        <f t="shared" ref="D30:N30" si="9">D11/D27</f>
        <v>2276.9849373389707</v>
      </c>
      <c r="E30" s="13">
        <f t="shared" si="9"/>
        <v>2307.303346658402</v>
      </c>
      <c r="F30" s="13">
        <f t="shared" si="9"/>
        <v>2275.5278395295895</v>
      </c>
      <c r="G30" s="13">
        <f t="shared" si="9"/>
        <v>2304.7303091217586</v>
      </c>
      <c r="H30" s="13">
        <f t="shared" si="9"/>
        <v>2732.2752456883686</v>
      </c>
      <c r="I30" s="13">
        <f t="shared" si="9"/>
        <v>2758.5874064014843</v>
      </c>
      <c r="J30" s="13">
        <f t="shared" si="9"/>
        <v>2726.3025869320968</v>
      </c>
      <c r="K30" s="13">
        <f t="shared" si="9"/>
        <v>2753.665354638184</v>
      </c>
      <c r="L30" s="13">
        <f t="shared" si="9"/>
        <v>2719.7940375464409</v>
      </c>
      <c r="M30" s="13">
        <f t="shared" si="9"/>
        <v>2752.6443065134108</v>
      </c>
      <c r="N30" s="13">
        <f t="shared" si="9"/>
        <v>2715.4167044769038</v>
      </c>
    </row>
    <row r="31" spans="1:14">
      <c r="B31" t="s">
        <v>32</v>
      </c>
      <c r="C31" s="13">
        <f>C30*C28</f>
        <v>642803.63126347377</v>
      </c>
      <c r="D31" s="13">
        <f t="shared" ref="D31:N31" si="10">D30*D28</f>
        <v>635278.79751757276</v>
      </c>
      <c r="E31" s="13">
        <f t="shared" si="10"/>
        <v>643737.6337176942</v>
      </c>
      <c r="F31" s="13">
        <f t="shared" si="10"/>
        <v>634872.26722875552</v>
      </c>
      <c r="G31" s="13">
        <f t="shared" si="10"/>
        <v>643019.7562449706</v>
      </c>
      <c r="H31" s="13">
        <f t="shared" si="10"/>
        <v>816950.2984608222</v>
      </c>
      <c r="I31" s="13">
        <f t="shared" si="10"/>
        <v>824817.63451404381</v>
      </c>
      <c r="J31" s="13">
        <f t="shared" si="10"/>
        <v>815164.473492697</v>
      </c>
      <c r="K31" s="13">
        <f t="shared" si="10"/>
        <v>823345.94103681704</v>
      </c>
      <c r="L31" s="13">
        <f t="shared" si="10"/>
        <v>813218.41722638579</v>
      </c>
      <c r="M31" s="13">
        <f t="shared" si="10"/>
        <v>823040.64764750982</v>
      </c>
      <c r="N31" s="13">
        <f t="shared" si="10"/>
        <v>811909.59463859419</v>
      </c>
    </row>
    <row r="33" spans="1:14">
      <c r="B33" s="5" t="s">
        <v>46</v>
      </c>
    </row>
    <row r="34" spans="1:14">
      <c r="B34" t="s">
        <v>47</v>
      </c>
      <c r="C34" s="19">
        <v>0.3</v>
      </c>
      <c r="D34" s="19">
        <v>0.3</v>
      </c>
      <c r="E34" s="19">
        <v>0.3</v>
      </c>
      <c r="F34" s="19">
        <v>0.3</v>
      </c>
      <c r="G34" s="19">
        <v>0.3</v>
      </c>
      <c r="H34" s="19">
        <v>0.3</v>
      </c>
      <c r="I34" s="19">
        <v>0.3</v>
      </c>
      <c r="J34" s="19">
        <v>0.3</v>
      </c>
      <c r="K34" s="19">
        <v>0.3</v>
      </c>
      <c r="L34" s="19">
        <v>0.3</v>
      </c>
      <c r="M34" s="19">
        <v>0.3</v>
      </c>
      <c r="N34" s="19">
        <v>0.3</v>
      </c>
    </row>
    <row r="35" spans="1:14">
      <c r="B35" t="s">
        <v>33</v>
      </c>
      <c r="C35" s="13">
        <f>C31*C34</f>
        <v>192841.08937904213</v>
      </c>
      <c r="D35" s="13">
        <f t="shared" ref="D35:N35" si="11">D31*D34</f>
        <v>190583.63925527182</v>
      </c>
      <c r="E35" s="13">
        <f t="shared" si="11"/>
        <v>193121.29011530825</v>
      </c>
      <c r="F35" s="13">
        <f t="shared" si="11"/>
        <v>190461.68016862666</v>
      </c>
      <c r="G35" s="13">
        <f t="shared" si="11"/>
        <v>192905.92687349117</v>
      </c>
      <c r="H35" s="13">
        <f t="shared" si="11"/>
        <v>245085.08953824666</v>
      </c>
      <c r="I35" s="13">
        <f t="shared" si="11"/>
        <v>247445.29035421312</v>
      </c>
      <c r="J35" s="13">
        <f t="shared" si="11"/>
        <v>244549.3420478091</v>
      </c>
      <c r="K35" s="13">
        <f t="shared" si="11"/>
        <v>247003.7823110451</v>
      </c>
      <c r="L35" s="13">
        <f t="shared" si="11"/>
        <v>243965.52516791574</v>
      </c>
      <c r="M35" s="13">
        <f t="shared" si="11"/>
        <v>246912.19429425293</v>
      </c>
      <c r="N35" s="13">
        <f t="shared" si="11"/>
        <v>243572.87839157824</v>
      </c>
    </row>
    <row r="36" spans="1:14">
      <c r="C36" s="20"/>
    </row>
    <row r="37" spans="1:14">
      <c r="B37" t="s">
        <v>48</v>
      </c>
      <c r="C37" s="21">
        <v>2.5000000000000001E-2</v>
      </c>
      <c r="D37" s="21">
        <v>2.5000000000000001E-2</v>
      </c>
      <c r="E37" s="21">
        <v>2.5000000000000001E-2</v>
      </c>
      <c r="F37" s="21">
        <v>2.5000000000000001E-2</v>
      </c>
      <c r="G37" s="21">
        <v>2.5000000000000001E-2</v>
      </c>
      <c r="H37" s="21">
        <v>2.5000000000000001E-2</v>
      </c>
      <c r="I37" s="21">
        <v>2.5000000000000001E-2</v>
      </c>
      <c r="J37" s="21">
        <v>2.5000000000000001E-2</v>
      </c>
      <c r="K37" s="21">
        <v>2.5000000000000001E-2</v>
      </c>
      <c r="L37" s="21">
        <v>2.5000000000000001E-2</v>
      </c>
      <c r="M37" s="21">
        <v>2.5000000000000001E-2</v>
      </c>
      <c r="N37" s="21">
        <v>2.5000000000000001E-2</v>
      </c>
    </row>
    <row r="38" spans="1:14">
      <c r="B38" t="s">
        <v>38</v>
      </c>
      <c r="C38" s="13">
        <f>C37*C35</f>
        <v>4821.0272344760533</v>
      </c>
      <c r="D38" s="13">
        <f t="shared" ref="D38:N38" si="12">D37*D35</f>
        <v>4764.5909813817952</v>
      </c>
      <c r="E38" s="13">
        <f t="shared" si="12"/>
        <v>4828.0322528827064</v>
      </c>
      <c r="F38" s="13">
        <f t="shared" si="12"/>
        <v>4761.5420042156666</v>
      </c>
      <c r="G38" s="13">
        <f t="shared" si="12"/>
        <v>4822.6481718372797</v>
      </c>
      <c r="H38" s="13">
        <f t="shared" si="12"/>
        <v>6127.1272384561671</v>
      </c>
      <c r="I38" s="13">
        <f t="shared" si="12"/>
        <v>6186.1322588553285</v>
      </c>
      <c r="J38" s="13">
        <f t="shared" si="12"/>
        <v>6113.7335511952278</v>
      </c>
      <c r="K38" s="13">
        <f t="shared" si="12"/>
        <v>6175.0945577761277</v>
      </c>
      <c r="L38" s="13">
        <f t="shared" si="12"/>
        <v>6099.1381291978942</v>
      </c>
      <c r="M38" s="13">
        <f t="shared" si="12"/>
        <v>6172.8048573563237</v>
      </c>
      <c r="N38" s="13">
        <f t="shared" si="12"/>
        <v>6089.3219597894567</v>
      </c>
    </row>
    <row r="40" spans="1:14">
      <c r="A40" t="s">
        <v>27</v>
      </c>
      <c r="B40" t="s">
        <v>49</v>
      </c>
      <c r="C40" s="19">
        <v>0.25</v>
      </c>
    </row>
  </sheetData>
  <dataValidations count="1">
    <dataValidation type="list" allowBlank="1" showInputMessage="1" showErrorMessage="1" sqref="C2" xr:uid="{BC1F21B8-01A0-4AC3-B73C-D32BC41F6855}">
      <formula1>"1,2,3"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0B062-7682-4081-A922-9AF1E1D7476B}">
  <dimension ref="A1"/>
  <sheetViews>
    <sheetView workbookViewId="0">
      <selection activeCell="B9" sqref="B9"/>
    </sheetView>
  </sheetViews>
  <sheetFormatPr defaultRowHeight="15.6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2DA49-ACA9-473B-85B9-15F2ACAF5A0F}">
  <dimension ref="A1:M51"/>
  <sheetViews>
    <sheetView workbookViewId="0">
      <selection sqref="A1:M21"/>
    </sheetView>
  </sheetViews>
  <sheetFormatPr defaultRowHeight="15.6"/>
  <cols>
    <col min="1" max="1" width="13.09765625" customWidth="1"/>
    <col min="2" max="2" width="11.796875" customWidth="1"/>
    <col min="3" max="3" width="8.796875" customWidth="1"/>
    <col min="4" max="4" width="10.69921875" customWidth="1"/>
    <col min="5" max="5" width="13.3984375" customWidth="1"/>
    <col min="7" max="7" width="12.5" customWidth="1"/>
    <col min="9" max="9" width="12.8984375" customWidth="1"/>
    <col min="11" max="11" width="9" customWidth="1"/>
    <col min="12" max="12" width="10.19921875" customWidth="1"/>
    <col min="13" max="13" width="14.09765625" customWidth="1"/>
  </cols>
  <sheetData>
    <row r="1" spans="1:13">
      <c r="A1" s="58" t="s">
        <v>56</v>
      </c>
      <c r="B1" s="58" t="s">
        <v>62</v>
      </c>
      <c r="C1" s="58" t="s">
        <v>11</v>
      </c>
      <c r="D1" s="58" t="s">
        <v>57</v>
      </c>
      <c r="E1" s="58" t="s">
        <v>63</v>
      </c>
      <c r="F1" s="58" t="s">
        <v>64</v>
      </c>
      <c r="G1" s="58" t="s">
        <v>59</v>
      </c>
      <c r="H1" s="58" t="s">
        <v>61</v>
      </c>
      <c r="I1" s="58" t="s">
        <v>65</v>
      </c>
      <c r="J1" s="58" t="s">
        <v>58</v>
      </c>
      <c r="K1" s="57" t="s">
        <v>60</v>
      </c>
      <c r="L1" s="57" t="s">
        <v>143</v>
      </c>
      <c r="M1" s="57" t="s">
        <v>144</v>
      </c>
    </row>
    <row r="2" spans="1:13">
      <c r="A2" s="58" t="s">
        <v>66</v>
      </c>
      <c r="B2" s="58" t="s">
        <v>86</v>
      </c>
      <c r="C2" s="58" t="s">
        <v>13</v>
      </c>
      <c r="D2" s="58" t="s">
        <v>87</v>
      </c>
      <c r="E2" s="58" t="s">
        <v>88</v>
      </c>
      <c r="F2" s="58">
        <v>45000</v>
      </c>
      <c r="G2" s="58">
        <v>45000</v>
      </c>
      <c r="H2" s="58" t="s">
        <v>89</v>
      </c>
      <c r="I2" s="58" t="s">
        <v>90</v>
      </c>
      <c r="J2" s="58">
        <v>50000</v>
      </c>
      <c r="K2">
        <f>J2-G2</f>
        <v>5000</v>
      </c>
      <c r="L2">
        <f>K2/J2</f>
        <v>0.1</v>
      </c>
      <c r="M2" t="str">
        <f>IF(G2&gt;J2,"Over Budget","Within Budget")</f>
        <v>Within Budget</v>
      </c>
    </row>
    <row r="3" spans="1:13">
      <c r="A3" s="58" t="s">
        <v>67</v>
      </c>
      <c r="B3" s="58" t="s">
        <v>91</v>
      </c>
      <c r="C3" s="58" t="s">
        <v>13</v>
      </c>
      <c r="D3" s="58" t="s">
        <v>92</v>
      </c>
      <c r="E3" s="58" t="s">
        <v>88</v>
      </c>
      <c r="F3" s="58">
        <v>38000</v>
      </c>
      <c r="G3" s="58">
        <v>38000</v>
      </c>
      <c r="H3" s="58" t="s">
        <v>89</v>
      </c>
      <c r="I3" s="58" t="s">
        <v>93</v>
      </c>
      <c r="J3" s="58">
        <v>50000</v>
      </c>
      <c r="K3">
        <f t="shared" ref="K3:K21" si="0">J3-G3</f>
        <v>12000</v>
      </c>
      <c r="L3">
        <f t="shared" ref="L3:L21" si="1">K3/J3</f>
        <v>0.24</v>
      </c>
      <c r="M3" t="str">
        <f t="shared" ref="M3:M21" si="2">IF(G3&gt;J3,"Over Budget","Within Budget")</f>
        <v>Within Budget</v>
      </c>
    </row>
    <row r="4" spans="1:13">
      <c r="A4" s="58" t="s">
        <v>68</v>
      </c>
      <c r="B4" s="58" t="s">
        <v>94</v>
      </c>
      <c r="C4" s="58" t="s">
        <v>22</v>
      </c>
      <c r="D4" s="58" t="s">
        <v>95</v>
      </c>
      <c r="E4" s="58" t="s">
        <v>96</v>
      </c>
      <c r="F4" s="58">
        <v>25000</v>
      </c>
      <c r="G4" s="58">
        <v>25000</v>
      </c>
      <c r="H4" s="58" t="s">
        <v>89</v>
      </c>
      <c r="I4" s="58" t="s">
        <v>97</v>
      </c>
      <c r="J4" s="58">
        <v>30000</v>
      </c>
      <c r="K4">
        <f t="shared" si="0"/>
        <v>5000</v>
      </c>
      <c r="L4">
        <f t="shared" si="1"/>
        <v>0.16666666666666666</v>
      </c>
      <c r="M4" t="str">
        <f t="shared" si="2"/>
        <v>Within Budget</v>
      </c>
    </row>
    <row r="5" spans="1:13">
      <c r="A5" s="58" t="s">
        <v>69</v>
      </c>
      <c r="B5" s="58" t="s">
        <v>98</v>
      </c>
      <c r="C5" s="58" t="s">
        <v>16</v>
      </c>
      <c r="D5" s="58" t="s">
        <v>99</v>
      </c>
      <c r="E5" s="58" t="s">
        <v>100</v>
      </c>
      <c r="F5" s="58">
        <v>85000</v>
      </c>
      <c r="G5" s="58">
        <v>85000</v>
      </c>
      <c r="H5" s="58" t="s">
        <v>89</v>
      </c>
      <c r="I5" s="58" t="s">
        <v>101</v>
      </c>
      <c r="J5" s="58">
        <v>100000</v>
      </c>
      <c r="K5">
        <f t="shared" si="0"/>
        <v>15000</v>
      </c>
      <c r="L5">
        <f t="shared" si="1"/>
        <v>0.15</v>
      </c>
      <c r="M5" t="str">
        <f t="shared" si="2"/>
        <v>Within Budget</v>
      </c>
    </row>
    <row r="6" spans="1:13">
      <c r="A6" s="58" t="s">
        <v>70</v>
      </c>
      <c r="B6" s="58" t="s">
        <v>102</v>
      </c>
      <c r="C6" s="58" t="s">
        <v>19</v>
      </c>
      <c r="D6" s="58" t="s">
        <v>103</v>
      </c>
      <c r="E6" s="58" t="s">
        <v>20</v>
      </c>
      <c r="F6" s="58">
        <v>32000</v>
      </c>
      <c r="G6" s="58">
        <v>32000</v>
      </c>
      <c r="H6" s="58" t="s">
        <v>89</v>
      </c>
      <c r="I6" s="58" t="s">
        <v>104</v>
      </c>
      <c r="J6" s="58">
        <v>40000</v>
      </c>
      <c r="K6">
        <f t="shared" si="0"/>
        <v>8000</v>
      </c>
      <c r="L6">
        <f t="shared" si="1"/>
        <v>0.2</v>
      </c>
      <c r="M6" t="str">
        <f t="shared" si="2"/>
        <v>Within Budget</v>
      </c>
    </row>
    <row r="7" spans="1:13">
      <c r="A7" s="58" t="s">
        <v>71</v>
      </c>
      <c r="B7" s="58" t="s">
        <v>105</v>
      </c>
      <c r="C7" s="58" t="s">
        <v>13</v>
      </c>
      <c r="D7" s="58" t="s">
        <v>87</v>
      </c>
      <c r="E7" s="58" t="s">
        <v>88</v>
      </c>
      <c r="F7" s="58">
        <v>47000</v>
      </c>
      <c r="G7" s="58">
        <v>47000</v>
      </c>
      <c r="H7" s="58" t="s">
        <v>89</v>
      </c>
      <c r="I7" s="58" t="s">
        <v>106</v>
      </c>
      <c r="J7" s="58">
        <v>50000</v>
      </c>
      <c r="K7">
        <f t="shared" si="0"/>
        <v>3000</v>
      </c>
      <c r="L7">
        <f t="shared" si="1"/>
        <v>0.06</v>
      </c>
      <c r="M7" t="str">
        <f t="shared" si="2"/>
        <v>Within Budget</v>
      </c>
    </row>
    <row r="8" spans="1:13">
      <c r="A8" s="58" t="s">
        <v>72</v>
      </c>
      <c r="B8" s="58" t="s">
        <v>107</v>
      </c>
      <c r="C8" s="58" t="s">
        <v>22</v>
      </c>
      <c r="D8" s="58" t="s">
        <v>108</v>
      </c>
      <c r="E8" s="58" t="s">
        <v>96</v>
      </c>
      <c r="F8" s="58">
        <v>28000</v>
      </c>
      <c r="G8" s="58">
        <v>28000</v>
      </c>
      <c r="H8" s="58" t="s">
        <v>89</v>
      </c>
      <c r="I8" s="58" t="s">
        <v>109</v>
      </c>
      <c r="J8" s="58">
        <v>30000</v>
      </c>
      <c r="K8">
        <f t="shared" si="0"/>
        <v>2000</v>
      </c>
      <c r="L8">
        <f t="shared" si="1"/>
        <v>6.6666666666666666E-2</v>
      </c>
      <c r="M8" t="str">
        <f t="shared" si="2"/>
        <v>Within Budget</v>
      </c>
    </row>
    <row r="9" spans="1:13">
      <c r="A9" s="58" t="s">
        <v>73</v>
      </c>
      <c r="B9" s="58" t="s">
        <v>110</v>
      </c>
      <c r="C9" s="58" t="s">
        <v>16</v>
      </c>
      <c r="D9" s="58" t="s">
        <v>111</v>
      </c>
      <c r="E9" s="58" t="s">
        <v>112</v>
      </c>
      <c r="F9" s="58">
        <v>92000</v>
      </c>
      <c r="G9" s="58">
        <v>92000</v>
      </c>
      <c r="H9" s="58" t="s">
        <v>89</v>
      </c>
      <c r="I9" s="58" t="s">
        <v>113</v>
      </c>
      <c r="J9" s="58">
        <v>100000</v>
      </c>
      <c r="K9">
        <f t="shared" si="0"/>
        <v>8000</v>
      </c>
      <c r="L9">
        <f t="shared" si="1"/>
        <v>0.08</v>
      </c>
      <c r="M9" t="str">
        <f t="shared" si="2"/>
        <v>Within Budget</v>
      </c>
    </row>
    <row r="10" spans="1:13">
      <c r="A10" s="58" t="s">
        <v>74</v>
      </c>
      <c r="B10" s="58" t="s">
        <v>114</v>
      </c>
      <c r="C10" s="58" t="s">
        <v>115</v>
      </c>
      <c r="D10" s="58" t="s">
        <v>116</v>
      </c>
      <c r="E10" s="58" t="s">
        <v>17</v>
      </c>
      <c r="F10" s="58">
        <v>55000</v>
      </c>
      <c r="G10" s="58">
        <v>55000</v>
      </c>
      <c r="H10" s="58" t="s">
        <v>89</v>
      </c>
      <c r="I10" s="58" t="s">
        <v>117</v>
      </c>
      <c r="J10" s="58">
        <v>60000</v>
      </c>
      <c r="K10">
        <f t="shared" si="0"/>
        <v>5000</v>
      </c>
      <c r="L10">
        <f t="shared" si="1"/>
        <v>8.3333333333333329E-2</v>
      </c>
      <c r="M10" t="str">
        <f t="shared" si="2"/>
        <v>Within Budget</v>
      </c>
    </row>
    <row r="11" spans="1:13">
      <c r="A11" s="58" t="s">
        <v>75</v>
      </c>
      <c r="B11" s="58" t="s">
        <v>118</v>
      </c>
      <c r="C11" s="58" t="s">
        <v>19</v>
      </c>
      <c r="D11" s="58" t="s">
        <v>119</v>
      </c>
      <c r="E11" s="58" t="s">
        <v>20</v>
      </c>
      <c r="F11" s="58">
        <v>21000</v>
      </c>
      <c r="G11" s="58">
        <v>21000</v>
      </c>
      <c r="H11" s="58" t="s">
        <v>89</v>
      </c>
      <c r="I11" s="58" t="s">
        <v>120</v>
      </c>
      <c r="J11" s="58">
        <v>40000</v>
      </c>
      <c r="K11">
        <f t="shared" si="0"/>
        <v>19000</v>
      </c>
      <c r="L11">
        <f t="shared" si="1"/>
        <v>0.47499999999999998</v>
      </c>
      <c r="M11" t="str">
        <f t="shared" si="2"/>
        <v>Within Budget</v>
      </c>
    </row>
    <row r="12" spans="1:13">
      <c r="A12" s="58" t="s">
        <v>76</v>
      </c>
      <c r="B12" s="58" t="s">
        <v>121</v>
      </c>
      <c r="C12" s="58" t="s">
        <v>13</v>
      </c>
      <c r="D12" s="58" t="s">
        <v>92</v>
      </c>
      <c r="E12" s="58" t="s">
        <v>88</v>
      </c>
      <c r="F12" s="58">
        <v>44000</v>
      </c>
      <c r="G12" s="58">
        <v>44000</v>
      </c>
      <c r="H12" s="58" t="s">
        <v>89</v>
      </c>
      <c r="I12" s="58" t="s">
        <v>122</v>
      </c>
      <c r="J12" s="58">
        <v>50000</v>
      </c>
      <c r="K12">
        <f t="shared" si="0"/>
        <v>6000</v>
      </c>
      <c r="L12">
        <f t="shared" si="1"/>
        <v>0.12</v>
      </c>
      <c r="M12" t="str">
        <f t="shared" si="2"/>
        <v>Within Budget</v>
      </c>
    </row>
    <row r="13" spans="1:13">
      <c r="A13" s="58" t="s">
        <v>77</v>
      </c>
      <c r="B13" s="58" t="s">
        <v>123</v>
      </c>
      <c r="C13" s="58" t="s">
        <v>16</v>
      </c>
      <c r="D13" s="58" t="s">
        <v>99</v>
      </c>
      <c r="E13" s="58" t="s">
        <v>100</v>
      </c>
      <c r="F13" s="58">
        <v>78000</v>
      </c>
      <c r="G13" s="58">
        <v>78000</v>
      </c>
      <c r="H13" s="58" t="s">
        <v>89</v>
      </c>
      <c r="I13" s="58" t="s">
        <v>124</v>
      </c>
      <c r="J13" s="58">
        <v>100000</v>
      </c>
      <c r="K13">
        <f t="shared" si="0"/>
        <v>22000</v>
      </c>
      <c r="L13">
        <f t="shared" si="1"/>
        <v>0.22</v>
      </c>
      <c r="M13" t="str">
        <f t="shared" si="2"/>
        <v>Within Budget</v>
      </c>
    </row>
    <row r="14" spans="1:13">
      <c r="A14" s="58" t="s">
        <v>78</v>
      </c>
      <c r="B14" s="58" t="s">
        <v>125</v>
      </c>
      <c r="C14" s="58" t="s">
        <v>22</v>
      </c>
      <c r="D14" s="58" t="s">
        <v>95</v>
      </c>
      <c r="E14" s="58" t="s">
        <v>96</v>
      </c>
      <c r="F14" s="58">
        <v>26000</v>
      </c>
      <c r="G14" s="58">
        <v>26000</v>
      </c>
      <c r="H14" s="58" t="s">
        <v>89</v>
      </c>
      <c r="I14" s="58" t="s">
        <v>126</v>
      </c>
      <c r="J14" s="58">
        <v>30000</v>
      </c>
      <c r="K14">
        <f t="shared" si="0"/>
        <v>4000</v>
      </c>
      <c r="L14">
        <f t="shared" si="1"/>
        <v>0.13333333333333333</v>
      </c>
      <c r="M14" t="str">
        <f t="shared" si="2"/>
        <v>Within Budget</v>
      </c>
    </row>
    <row r="15" spans="1:13">
      <c r="A15" s="58" t="s">
        <v>79</v>
      </c>
      <c r="B15" s="58" t="s">
        <v>127</v>
      </c>
      <c r="C15" s="58" t="s">
        <v>19</v>
      </c>
      <c r="D15" s="58" t="s">
        <v>103</v>
      </c>
      <c r="E15" s="58" t="s">
        <v>20</v>
      </c>
      <c r="F15" s="58">
        <v>33000</v>
      </c>
      <c r="G15" s="58">
        <v>33000</v>
      </c>
      <c r="H15" s="58" t="s">
        <v>89</v>
      </c>
      <c r="I15" s="58" t="s">
        <v>128</v>
      </c>
      <c r="J15" s="58">
        <v>40000</v>
      </c>
      <c r="K15">
        <f t="shared" si="0"/>
        <v>7000</v>
      </c>
      <c r="L15">
        <f t="shared" si="1"/>
        <v>0.17499999999999999</v>
      </c>
      <c r="M15" t="str">
        <f t="shared" si="2"/>
        <v>Within Budget</v>
      </c>
    </row>
    <row r="16" spans="1:13">
      <c r="A16" s="58" t="s">
        <v>80</v>
      </c>
      <c r="B16" s="58" t="s">
        <v>129</v>
      </c>
      <c r="C16" s="58" t="s">
        <v>115</v>
      </c>
      <c r="D16" s="58" t="s">
        <v>130</v>
      </c>
      <c r="E16" s="58" t="s">
        <v>17</v>
      </c>
      <c r="F16" s="58">
        <v>49000</v>
      </c>
      <c r="G16" s="58">
        <v>49000</v>
      </c>
      <c r="H16" s="58" t="s">
        <v>89</v>
      </c>
      <c r="I16" s="58" t="s">
        <v>131</v>
      </c>
      <c r="J16" s="58">
        <v>60000</v>
      </c>
      <c r="K16">
        <f t="shared" si="0"/>
        <v>11000</v>
      </c>
      <c r="L16">
        <f t="shared" si="1"/>
        <v>0.18333333333333332</v>
      </c>
      <c r="M16" t="str">
        <f t="shared" si="2"/>
        <v>Within Budget</v>
      </c>
    </row>
    <row r="17" spans="1:13">
      <c r="A17" s="58" t="s">
        <v>81</v>
      </c>
      <c r="B17" s="58" t="s">
        <v>132</v>
      </c>
      <c r="C17" s="58" t="s">
        <v>13</v>
      </c>
      <c r="D17" s="58" t="s">
        <v>87</v>
      </c>
      <c r="E17" s="58" t="s">
        <v>88</v>
      </c>
      <c r="F17" s="58">
        <v>51000</v>
      </c>
      <c r="G17" s="58">
        <v>51000</v>
      </c>
      <c r="H17" s="58" t="s">
        <v>89</v>
      </c>
      <c r="I17" s="58" t="s">
        <v>133</v>
      </c>
      <c r="J17" s="58">
        <v>50000</v>
      </c>
      <c r="K17">
        <f t="shared" si="0"/>
        <v>-1000</v>
      </c>
      <c r="L17">
        <f t="shared" si="1"/>
        <v>-0.02</v>
      </c>
      <c r="M17" t="str">
        <f t="shared" si="2"/>
        <v>Over Budget</v>
      </c>
    </row>
    <row r="18" spans="1:13">
      <c r="A18" s="58" t="s">
        <v>82</v>
      </c>
      <c r="B18" s="58" t="s">
        <v>134</v>
      </c>
      <c r="C18" s="58" t="s">
        <v>16</v>
      </c>
      <c r="D18" s="58" t="s">
        <v>135</v>
      </c>
      <c r="E18" s="58" t="s">
        <v>112</v>
      </c>
      <c r="F18" s="58">
        <v>96000</v>
      </c>
      <c r="G18" s="58">
        <v>96000</v>
      </c>
      <c r="H18" s="58" t="s">
        <v>89</v>
      </c>
      <c r="I18" s="58" t="s">
        <v>136</v>
      </c>
      <c r="J18" s="58">
        <v>100000</v>
      </c>
      <c r="K18">
        <f t="shared" si="0"/>
        <v>4000</v>
      </c>
      <c r="L18">
        <f t="shared" si="1"/>
        <v>0.04</v>
      </c>
      <c r="M18" t="str">
        <f t="shared" si="2"/>
        <v>Within Budget</v>
      </c>
    </row>
    <row r="19" spans="1:13">
      <c r="A19" s="58" t="s">
        <v>83</v>
      </c>
      <c r="B19" s="58" t="s">
        <v>137</v>
      </c>
      <c r="C19" s="58" t="s">
        <v>22</v>
      </c>
      <c r="D19" s="58" t="s">
        <v>108</v>
      </c>
      <c r="E19" s="58" t="s">
        <v>96</v>
      </c>
      <c r="F19" s="58">
        <v>29000</v>
      </c>
      <c r="G19" s="58">
        <v>29000</v>
      </c>
      <c r="H19" s="58" t="s">
        <v>89</v>
      </c>
      <c r="I19" s="58" t="s">
        <v>138</v>
      </c>
      <c r="J19" s="58">
        <v>30000</v>
      </c>
      <c r="K19">
        <f t="shared" si="0"/>
        <v>1000</v>
      </c>
      <c r="L19">
        <f t="shared" si="1"/>
        <v>3.3333333333333333E-2</v>
      </c>
      <c r="M19" t="str">
        <f t="shared" si="2"/>
        <v>Within Budget</v>
      </c>
    </row>
    <row r="20" spans="1:13">
      <c r="A20" s="58" t="s">
        <v>84</v>
      </c>
      <c r="B20" s="58" t="s">
        <v>139</v>
      </c>
      <c r="C20" s="58" t="s">
        <v>19</v>
      </c>
      <c r="D20" s="58" t="s">
        <v>119</v>
      </c>
      <c r="E20" s="58" t="s">
        <v>20</v>
      </c>
      <c r="F20" s="58">
        <v>22000</v>
      </c>
      <c r="G20" s="58">
        <v>22000</v>
      </c>
      <c r="H20" s="58" t="s">
        <v>89</v>
      </c>
      <c r="I20" s="58" t="s">
        <v>140</v>
      </c>
      <c r="J20" s="58">
        <v>40000</v>
      </c>
      <c r="K20">
        <f t="shared" si="0"/>
        <v>18000</v>
      </c>
      <c r="L20">
        <f t="shared" si="1"/>
        <v>0.45</v>
      </c>
      <c r="M20" t="str">
        <f t="shared" si="2"/>
        <v>Within Budget</v>
      </c>
    </row>
    <row r="21" spans="1:13">
      <c r="A21" s="58" t="s">
        <v>85</v>
      </c>
      <c r="B21" s="58" t="s">
        <v>141</v>
      </c>
      <c r="C21" s="58" t="s">
        <v>115</v>
      </c>
      <c r="D21" s="58" t="s">
        <v>116</v>
      </c>
      <c r="E21" s="58" t="s">
        <v>17</v>
      </c>
      <c r="F21" s="58">
        <v>61000</v>
      </c>
      <c r="G21" s="58">
        <v>61000</v>
      </c>
      <c r="H21" s="58" t="s">
        <v>89</v>
      </c>
      <c r="I21" s="58" t="s">
        <v>142</v>
      </c>
      <c r="J21" s="58">
        <v>60000</v>
      </c>
      <c r="K21">
        <f t="shared" si="0"/>
        <v>-1000</v>
      </c>
      <c r="L21">
        <f t="shared" si="1"/>
        <v>-1.6666666666666666E-2</v>
      </c>
      <c r="M21" t="str">
        <f t="shared" si="2"/>
        <v>Over Budget</v>
      </c>
    </row>
    <row r="22" spans="1:13">
      <c r="A22" s="57"/>
    </row>
    <row r="23" spans="1:13">
      <c r="A23" s="57"/>
    </row>
    <row r="24" spans="1:13">
      <c r="A24" s="57"/>
    </row>
    <row r="25" spans="1:13">
      <c r="A25" s="57"/>
    </row>
    <row r="26" spans="1:13">
      <c r="A26" s="57"/>
    </row>
    <row r="27" spans="1:13">
      <c r="A27" s="57"/>
    </row>
    <row r="28" spans="1:13">
      <c r="A28" s="57"/>
    </row>
    <row r="29" spans="1:13">
      <c r="A29" s="57"/>
    </row>
    <row r="30" spans="1:13">
      <c r="A30" s="57"/>
    </row>
    <row r="31" spans="1:13">
      <c r="A31" s="57"/>
    </row>
    <row r="32" spans="1:13">
      <c r="A32" s="57"/>
    </row>
    <row r="33" spans="1:1">
      <c r="A33" s="57"/>
    </row>
    <row r="34" spans="1:1">
      <c r="A34" s="57"/>
    </row>
    <row r="35" spans="1:1">
      <c r="A35" s="57"/>
    </row>
    <row r="36" spans="1:1">
      <c r="A36" s="57"/>
    </row>
    <row r="37" spans="1:1">
      <c r="A37" s="57"/>
    </row>
    <row r="38" spans="1:1">
      <c r="A38" s="57"/>
    </row>
    <row r="39" spans="1:1">
      <c r="A39" s="57"/>
    </row>
    <row r="40" spans="1:1">
      <c r="A40" s="57"/>
    </row>
    <row r="41" spans="1:1">
      <c r="A41" s="57"/>
    </row>
    <row r="42" spans="1:1">
      <c r="A42" s="57"/>
    </row>
    <row r="43" spans="1:1">
      <c r="A43" s="57"/>
    </row>
    <row r="44" spans="1:1">
      <c r="A44" s="57"/>
    </row>
    <row r="45" spans="1:1">
      <c r="A45" s="57"/>
    </row>
    <row r="46" spans="1:1">
      <c r="A46" s="57"/>
    </row>
    <row r="47" spans="1:1">
      <c r="A47" s="57"/>
    </row>
    <row r="48" spans="1:1">
      <c r="A48" s="57"/>
    </row>
    <row r="49" spans="1:1">
      <c r="A49" s="57"/>
    </row>
    <row r="50" spans="1:1">
      <c r="A50" s="57"/>
    </row>
    <row r="51" spans="1:1">
      <c r="A51" s="5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CFF6C-8A4E-4286-B081-C652B35F3A0A}">
  <dimension ref="A1:K17"/>
  <sheetViews>
    <sheetView tabSelected="1" workbookViewId="0">
      <selection activeCell="D4" sqref="D4"/>
    </sheetView>
  </sheetViews>
  <sheetFormatPr defaultRowHeight="15.6"/>
  <cols>
    <col min="1" max="1" width="12.296875" bestFit="1" customWidth="1"/>
    <col min="2" max="2" width="13.19921875" bestFit="1" customWidth="1"/>
    <col min="3" max="3" width="18.3984375" bestFit="1" customWidth="1"/>
    <col min="5" max="5" width="5.8984375" bestFit="1" customWidth="1"/>
    <col min="6" max="6" width="12.296875" bestFit="1" customWidth="1"/>
    <col min="7" max="7" width="18.3984375" bestFit="1" customWidth="1"/>
    <col min="10" max="10" width="12.296875" bestFit="1" customWidth="1"/>
    <col min="11" max="11" width="18.69921875" bestFit="1" customWidth="1"/>
  </cols>
  <sheetData>
    <row r="1" spans="1:11">
      <c r="A1" s="56"/>
      <c r="B1" s="56"/>
    </row>
    <row r="2" spans="1:11" ht="31.2">
      <c r="A2" s="59" t="s">
        <v>145</v>
      </c>
      <c r="B2" s="60">
        <f>SUM('Purchase Order(PO)'!J:J)</f>
        <v>1110000</v>
      </c>
      <c r="F2" s="61" t="s">
        <v>150</v>
      </c>
      <c r="G2" t="s">
        <v>152</v>
      </c>
    </row>
    <row r="3" spans="1:11" ht="46.8">
      <c r="A3" s="59" t="s">
        <v>146</v>
      </c>
      <c r="B3" s="60">
        <f>SUM('Purchase Order(PO)'!G:G)</f>
        <v>957000</v>
      </c>
      <c r="F3" s="62" t="s">
        <v>16</v>
      </c>
      <c r="G3" s="63">
        <v>351000</v>
      </c>
    </row>
    <row r="4" spans="1:11" ht="31.2">
      <c r="A4" s="59" t="s">
        <v>147</v>
      </c>
      <c r="B4" s="60">
        <f>SUM('Purchase Order(PO)'!K:K)</f>
        <v>153000</v>
      </c>
      <c r="F4" s="62" t="s">
        <v>115</v>
      </c>
      <c r="G4" s="63">
        <v>165000</v>
      </c>
    </row>
    <row r="5" spans="1:11">
      <c r="A5" s="59" t="s">
        <v>148</v>
      </c>
      <c r="B5" s="60">
        <f>COUNTA('Purchase Order(PO)'!A:A)-1</f>
        <v>20</v>
      </c>
      <c r="F5" s="62" t="s">
        <v>22</v>
      </c>
      <c r="G5" s="63">
        <v>108000</v>
      </c>
    </row>
    <row r="6" spans="1:11" ht="46.8">
      <c r="A6" s="59" t="s">
        <v>149</v>
      </c>
      <c r="B6" s="60">
        <f>COUNTIF('Purchase Order(PO)'!M:M,"Over Budget")</f>
        <v>2</v>
      </c>
      <c r="F6" s="62" t="s">
        <v>13</v>
      </c>
      <c r="G6" s="63">
        <v>225000</v>
      </c>
    </row>
    <row r="7" spans="1:11">
      <c r="F7" s="62" t="s">
        <v>19</v>
      </c>
      <c r="G7" s="63">
        <v>108000</v>
      </c>
    </row>
    <row r="8" spans="1:11">
      <c r="F8" s="62" t="s">
        <v>151</v>
      </c>
      <c r="G8" s="63">
        <v>957000</v>
      </c>
    </row>
    <row r="11" spans="1:11">
      <c r="A11" s="61" t="s">
        <v>150</v>
      </c>
      <c r="B11" t="s">
        <v>153</v>
      </c>
      <c r="C11" t="s">
        <v>152</v>
      </c>
      <c r="J11" s="61" t="s">
        <v>150</v>
      </c>
      <c r="K11" t="s">
        <v>154</v>
      </c>
    </row>
    <row r="12" spans="1:11">
      <c r="A12" s="62" t="s">
        <v>16</v>
      </c>
      <c r="B12" s="63">
        <v>400000</v>
      </c>
      <c r="C12" s="63">
        <v>351000</v>
      </c>
      <c r="J12" s="62" t="s">
        <v>89</v>
      </c>
      <c r="K12" s="63">
        <v>20</v>
      </c>
    </row>
    <row r="13" spans="1:11">
      <c r="A13" s="62" t="s">
        <v>115</v>
      </c>
      <c r="B13" s="63">
        <v>180000</v>
      </c>
      <c r="C13" s="63">
        <v>165000</v>
      </c>
      <c r="J13" s="62" t="s">
        <v>151</v>
      </c>
      <c r="K13" s="63">
        <v>20</v>
      </c>
    </row>
    <row r="14" spans="1:11">
      <c r="A14" s="62" t="s">
        <v>22</v>
      </c>
      <c r="B14" s="63">
        <v>120000</v>
      </c>
      <c r="C14" s="63">
        <v>108000</v>
      </c>
    </row>
    <row r="15" spans="1:11">
      <c r="A15" s="62" t="s">
        <v>13</v>
      </c>
      <c r="B15" s="63">
        <v>250000</v>
      </c>
      <c r="C15" s="63">
        <v>225000</v>
      </c>
    </row>
    <row r="16" spans="1:11">
      <c r="A16" s="62" t="s">
        <v>19</v>
      </c>
      <c r="B16" s="63">
        <v>160000</v>
      </c>
      <c r="C16" s="63">
        <v>108000</v>
      </c>
    </row>
    <row r="17" spans="1:3">
      <c r="A17" s="62" t="s">
        <v>151</v>
      </c>
      <c r="B17" s="63">
        <v>1110000</v>
      </c>
      <c r="C17" s="63">
        <v>957000</v>
      </c>
    </row>
  </sheetData>
  <pageMargins left="0.7" right="0.7" top="0.75" bottom="0.75" header="0.3" footer="0.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N4"/>
  <sheetViews>
    <sheetView zoomScale="115" zoomScaleNormal="115" workbookViewId="0">
      <selection activeCell="B19" sqref="B19"/>
    </sheetView>
  </sheetViews>
  <sheetFormatPr defaultColWidth="11.19921875" defaultRowHeight="15.6"/>
  <cols>
    <col min="3" max="14" width="8.69921875" customWidth="1"/>
  </cols>
  <sheetData>
    <row r="2" spans="2:14">
      <c r="B2" s="1" t="s">
        <v>31</v>
      </c>
      <c r="C2" s="2">
        <f>'Income Statement'!C5</f>
        <v>45658</v>
      </c>
      <c r="D2" s="2">
        <f>EDATE(C2,1)</f>
        <v>45689</v>
      </c>
      <c r="E2" s="2">
        <f t="shared" ref="E2:N2" si="0">EDATE(D2,1)</f>
        <v>45717</v>
      </c>
      <c r="F2" s="2">
        <f t="shared" si="0"/>
        <v>45748</v>
      </c>
      <c r="G2" s="2">
        <f t="shared" si="0"/>
        <v>45778</v>
      </c>
      <c r="H2" s="2">
        <f t="shared" si="0"/>
        <v>45809</v>
      </c>
      <c r="I2" s="2">
        <f t="shared" si="0"/>
        <v>45839</v>
      </c>
      <c r="J2" s="2">
        <f t="shared" si="0"/>
        <v>45870</v>
      </c>
      <c r="K2" s="2">
        <f t="shared" si="0"/>
        <v>45901</v>
      </c>
      <c r="L2" s="2">
        <f t="shared" si="0"/>
        <v>45931</v>
      </c>
      <c r="M2" s="2">
        <f t="shared" si="0"/>
        <v>45962</v>
      </c>
      <c r="N2" s="2">
        <f t="shared" si="0"/>
        <v>45992</v>
      </c>
    </row>
    <row r="3" spans="2:14">
      <c r="B3" t="s">
        <v>32</v>
      </c>
      <c r="C3" s="3">
        <f>'Income Statement'!C6</f>
        <v>642803.63126347377</v>
      </c>
      <c r="D3" s="3">
        <f>'Income Statement'!D6</f>
        <v>635278.79751757276</v>
      </c>
      <c r="E3" s="3">
        <f>'Income Statement'!E6</f>
        <v>643737.6337176942</v>
      </c>
      <c r="F3" s="3">
        <f>'Income Statement'!F6</f>
        <v>634872.26722875552</v>
      </c>
      <c r="G3" s="3">
        <f>'Income Statement'!G6</f>
        <v>643019.7562449706</v>
      </c>
      <c r="H3" s="3">
        <f>'Income Statement'!H6</f>
        <v>816950.2984608222</v>
      </c>
      <c r="I3" s="3">
        <f>'Income Statement'!I6</f>
        <v>824817.63451404381</v>
      </c>
      <c r="J3" s="3">
        <f>'Income Statement'!J6</f>
        <v>815164.473492697</v>
      </c>
      <c r="K3" s="3">
        <f>'Income Statement'!K6</f>
        <v>823345.94103681704</v>
      </c>
      <c r="L3" s="3">
        <f>'Income Statement'!L6</f>
        <v>813218.41722638579</v>
      </c>
      <c r="M3" s="3">
        <f>'Income Statement'!M6</f>
        <v>823040.64764750982</v>
      </c>
      <c r="N3" s="3">
        <f>'Income Statement'!N6</f>
        <v>811909.59463859419</v>
      </c>
    </row>
    <row r="4" spans="2:14">
      <c r="B4" t="s">
        <v>50</v>
      </c>
      <c r="C4" s="4">
        <f>'Income Statement'!C22/Visuals!C3</f>
        <v>0.15673098996208418</v>
      </c>
      <c r="D4" s="4">
        <f>'Income Statement'!D22/Visuals!D3</f>
        <v>0.15328785766244271</v>
      </c>
      <c r="E4" s="4">
        <f>'Income Statement'!E22/Visuals!E3</f>
        <v>0.15507296366541193</v>
      </c>
      <c r="F4" s="4">
        <f>'Income Statement'!F22/Visuals!F3</f>
        <v>0.15133180360776993</v>
      </c>
      <c r="G4" s="4">
        <f>'Income Statement'!G22/Visuals!G3</f>
        <v>0.15327074016162096</v>
      </c>
      <c r="H4" s="4">
        <f>'Income Statement'!H22/Visuals!H3</f>
        <v>0.23239304765643623</v>
      </c>
      <c r="I4" s="4">
        <f>'Income Statement'!I22/Visuals!I3</f>
        <v>0.23282073577616727</v>
      </c>
      <c r="J4" s="4">
        <f>'Income Statement'!J22/Visuals!J3</f>
        <v>0.23015516544237222</v>
      </c>
      <c r="K4" s="4">
        <f>'Income Statement'!K22/Visuals!K3</f>
        <v>0.23137021909331579</v>
      </c>
      <c r="L4" s="4">
        <f>'Income Statement'!L22/Visuals!L3</f>
        <v>0.22884335690052324</v>
      </c>
      <c r="M4" s="4">
        <f>'Income Statement'!M22/Visuals!M3</f>
        <v>0.22989463687803918</v>
      </c>
      <c r="N4" s="4">
        <f>'Income Statement'!N22/Visuals!N3</f>
        <v>0.2269218623126262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1" master="" otherUserPermission="visible"/>
  <rangeList sheetStid="10" master="" otherUserPermission="visible"/>
  <rangeList sheetStid="6" master="" otherUserPermission="visible"/>
  <rangeList sheetStid="8" master="" otherUserPermission="visible"/>
  <rangeList sheetStid="9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Cover Page</vt:lpstr>
      <vt:lpstr>Actual Expenses</vt:lpstr>
      <vt:lpstr>Forecast</vt:lpstr>
      <vt:lpstr>Income Statement</vt:lpstr>
      <vt:lpstr>Sheet3</vt:lpstr>
      <vt:lpstr>Purchase Order(PO)</vt:lpstr>
      <vt:lpstr>Dashboard</vt:lpstr>
      <vt:lpstr>Visuals</vt:lpstr>
      <vt:lpstr>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Gurudev Manoharan</cp:lastModifiedBy>
  <dcterms:created xsi:type="dcterms:W3CDTF">2023-03-06T12:19:00Z</dcterms:created>
  <dcterms:modified xsi:type="dcterms:W3CDTF">2026-06-22T12:16:11Z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DB3376B3A35F4AC9924C2F89CA1B66AE_12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